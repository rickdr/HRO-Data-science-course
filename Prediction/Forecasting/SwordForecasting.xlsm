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school\HRO\INFDAT01-2\Prediction\Forecasting\"/>
    </mc:Choice>
  </mc:AlternateContent>
  <xr:revisionPtr revIDLastSave="0" documentId="13_ncr:1_{7D471812-5003-486B-B775-E6EDC046DC3E}" xr6:coauthVersionLast="43" xr6:coauthVersionMax="43" xr10:uidLastSave="{00000000-0000-0000-0000-000000000000}"/>
  <bookViews>
    <workbookView xWindow="-120" yWindow="-120" windowWidth="29040" windowHeight="15840" tabRatio="953" activeTab="2" xr2:uid="{00000000-000D-0000-FFFF-FFFF00000000}"/>
  </bookViews>
  <sheets>
    <sheet name="Timeseries" sheetId="2" r:id="rId1"/>
    <sheet name="SES" sheetId="3" r:id="rId2"/>
    <sheet name="Holt'sTrend-Corrected" sheetId="5" r:id="rId3"/>
    <sheet name="Holt's Autocorrelation" sheetId="6" r:id="rId4"/>
    <sheet name="HoltWintersInitial" sheetId="13" r:id="rId5"/>
    <sheet name="HoltWintersSeasonal" sheetId="7" r:id="rId6"/>
    <sheet name="HW Autocorrelation" sheetId="18" r:id="rId7"/>
    <sheet name="PredictionIntervals" sheetId="11" r:id="rId8"/>
    <sheet name="Fan Chart" sheetId="19" r:id="rId9"/>
  </sheets>
  <definedNames>
    <definedName name="solver_adj" localSheetId="2" hidden="1">'Holt''sTrend-Corrected'!$C$2:$D$2</definedName>
    <definedName name="solver_adj" localSheetId="5" hidden="1">HoltWintersSeasonal!$C$2:$E$2</definedName>
    <definedName name="solver_adj" localSheetId="7" hidden="1">PredictionIntervals!$C$2:$E$2</definedName>
    <definedName name="solver_adj" localSheetId="1" hidden="1">SES!$C$2</definedName>
    <definedName name="solver_cvg" localSheetId="2" hidden="1">0.0001</definedName>
    <definedName name="solver_cvg" localSheetId="5" hidden="1">0.0001</definedName>
    <definedName name="solver_cvg" localSheetId="7" hidden="1">0.0001</definedName>
    <definedName name="solver_cvg" localSheetId="1" hidden="1">0.0001</definedName>
    <definedName name="solver_drv" localSheetId="2" hidden="1">1</definedName>
    <definedName name="solver_drv" localSheetId="5" hidden="1">1</definedName>
    <definedName name="solver_drv" localSheetId="7" hidden="1">1</definedName>
    <definedName name="solver_drv" localSheetId="1" hidden="1">1</definedName>
    <definedName name="solver_eng" localSheetId="2" hidden="1">3</definedName>
    <definedName name="solver_eng" localSheetId="5" hidden="1">3</definedName>
    <definedName name="solver_eng" localSheetId="7" hidden="1">3</definedName>
    <definedName name="solver_eng" localSheetId="1" hidden="1">3</definedName>
    <definedName name="solver_itr" localSheetId="2" hidden="1">2147483647</definedName>
    <definedName name="solver_itr" localSheetId="5" hidden="1">2147483647</definedName>
    <definedName name="solver_itr" localSheetId="7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5" hidden="1">HoltWintersSeasonal!$C$2:$E$2</definedName>
    <definedName name="solver_lhs1" localSheetId="7" hidden="1">PredictionIntervals!$C$2:$E$2</definedName>
    <definedName name="solver_lhs1" localSheetId="1" hidden="1">SES!$C$2</definedName>
    <definedName name="solver_lin" localSheetId="2" hidden="1">2</definedName>
    <definedName name="solver_lin" localSheetId="5" hidden="1">2</definedName>
    <definedName name="solver_lin" localSheetId="7" hidden="1">2</definedName>
    <definedName name="solver_lin" localSheetId="1" hidden="1">2</definedName>
    <definedName name="solver_mip" localSheetId="2" hidden="1">2147483647</definedName>
    <definedName name="solver_mip" localSheetId="5" hidden="1">2147483647</definedName>
    <definedName name="solver_mip" localSheetId="7" hidden="1">2147483647</definedName>
    <definedName name="solver_mip" localSheetId="1" hidden="1">2147483647</definedName>
    <definedName name="solver_mni" localSheetId="2" hidden="1">30</definedName>
    <definedName name="solver_mni" localSheetId="5" hidden="1">30</definedName>
    <definedName name="solver_mni" localSheetId="7" hidden="1">30</definedName>
    <definedName name="solver_mni" localSheetId="1" hidden="1">30</definedName>
    <definedName name="solver_mrt" localSheetId="2" hidden="1">0.075</definedName>
    <definedName name="solver_mrt" localSheetId="5" hidden="1">0.075</definedName>
    <definedName name="solver_mrt" localSheetId="7" hidden="1">0.075</definedName>
    <definedName name="solver_mrt" localSheetId="1" hidden="1">0.075</definedName>
    <definedName name="solver_msl" localSheetId="2" hidden="1">2</definedName>
    <definedName name="solver_msl" localSheetId="5" hidden="1">2</definedName>
    <definedName name="solver_msl" localSheetId="7" hidden="1">2</definedName>
    <definedName name="solver_msl" localSheetId="1" hidden="1">2</definedName>
    <definedName name="solver_neg" localSheetId="2" hidden="1">1</definedName>
    <definedName name="solver_neg" localSheetId="5" hidden="1">1</definedName>
    <definedName name="solver_neg" localSheetId="7" hidden="1">1</definedName>
    <definedName name="solver_neg" localSheetId="1" hidden="1">1</definedName>
    <definedName name="solver_nod" localSheetId="2" hidden="1">2147483647</definedName>
    <definedName name="solver_nod" localSheetId="5" hidden="1">2147483647</definedName>
    <definedName name="solver_nod" localSheetId="7" hidden="1">2147483647</definedName>
    <definedName name="solver_nod" localSheetId="1" hidden="1">2147483647</definedName>
    <definedName name="solver_num" localSheetId="2" hidden="1">1</definedName>
    <definedName name="solver_num" localSheetId="5" hidden="1">1</definedName>
    <definedName name="solver_num" localSheetId="7" hidden="1">1</definedName>
    <definedName name="solver_num" localSheetId="1" hidden="1">1</definedName>
    <definedName name="solver_opt" localSheetId="2" hidden="1">'Holt''sTrend-Corrected'!$G$2</definedName>
    <definedName name="solver_opt" localSheetId="5" hidden="1">HoltWintersSeasonal!$H$2</definedName>
    <definedName name="solver_opt" localSheetId="7" hidden="1">PredictionIntervals!$G$2</definedName>
    <definedName name="solver_opt" localSheetId="1" hidden="1">SES!$F$2</definedName>
    <definedName name="solver_pre" localSheetId="2" hidden="1">0.000001</definedName>
    <definedName name="solver_pre" localSheetId="5" hidden="1">0.000001</definedName>
    <definedName name="solver_pre" localSheetId="7" hidden="1">0.000001</definedName>
    <definedName name="solver_pre" localSheetId="1" hidden="1">0.000001</definedName>
    <definedName name="solver_rbv" localSheetId="2" hidden="1">1</definedName>
    <definedName name="solver_rbv" localSheetId="5" hidden="1">1</definedName>
    <definedName name="solver_rbv" localSheetId="7" hidden="1">1</definedName>
    <definedName name="solver_rbv" localSheetId="1" hidden="1">1</definedName>
    <definedName name="solver_rel1" localSheetId="2" hidden="1">1</definedName>
    <definedName name="solver_rel1" localSheetId="5" hidden="1">1</definedName>
    <definedName name="solver_rel1" localSheetId="7" hidden="1">1</definedName>
    <definedName name="solver_rel1" localSheetId="1" hidden="1">1</definedName>
    <definedName name="solver_rhs1" localSheetId="2" hidden="1">1</definedName>
    <definedName name="solver_rhs1" localSheetId="5" hidden="1">1</definedName>
    <definedName name="solver_rhs1" localSheetId="7" hidden="1">1</definedName>
    <definedName name="solver_rhs1" localSheetId="1" hidden="1">1</definedName>
    <definedName name="solver_rlx" localSheetId="2" hidden="1">2</definedName>
    <definedName name="solver_rlx" localSheetId="5" hidden="1">2</definedName>
    <definedName name="solver_rlx" localSheetId="7" hidden="1">2</definedName>
    <definedName name="solver_rlx" localSheetId="1" hidden="1">2</definedName>
    <definedName name="solver_rsd" localSheetId="2" hidden="1">0</definedName>
    <definedName name="solver_rsd" localSheetId="5" hidden="1">0</definedName>
    <definedName name="solver_rsd" localSheetId="7" hidden="1">0</definedName>
    <definedName name="solver_rsd" localSheetId="1" hidden="1">0</definedName>
    <definedName name="solver_scl" localSheetId="2" hidden="1">1</definedName>
    <definedName name="solver_scl" localSheetId="5" hidden="1">1</definedName>
    <definedName name="solver_scl" localSheetId="7" hidden="1">1</definedName>
    <definedName name="solver_scl" localSheetId="1" hidden="1">1</definedName>
    <definedName name="solver_sho" localSheetId="2" hidden="1">2</definedName>
    <definedName name="solver_sho" localSheetId="5" hidden="1">2</definedName>
    <definedName name="solver_sho" localSheetId="7" hidden="1">2</definedName>
    <definedName name="solver_sho" localSheetId="1" hidden="1">2</definedName>
    <definedName name="solver_ssz" localSheetId="2" hidden="1">100</definedName>
    <definedName name="solver_ssz" localSheetId="5" hidden="1">100</definedName>
    <definedName name="solver_ssz" localSheetId="7" hidden="1">100</definedName>
    <definedName name="solver_ssz" localSheetId="1" hidden="1">100</definedName>
    <definedName name="solver_tim" localSheetId="2" hidden="1">2147483647</definedName>
    <definedName name="solver_tim" localSheetId="5" hidden="1">2147483647</definedName>
    <definedName name="solver_tim" localSheetId="7" hidden="1">2147483647</definedName>
    <definedName name="solver_tim" localSheetId="1" hidden="1">2147483647</definedName>
    <definedName name="solver_tol" localSheetId="2" hidden="1">0.01</definedName>
    <definedName name="solver_tol" localSheetId="5" hidden="1">0.01</definedName>
    <definedName name="solver_tol" localSheetId="7" hidden="1">0.01</definedName>
    <definedName name="solver_tol" localSheetId="1" hidden="1">0.01</definedName>
    <definedName name="solver_typ" localSheetId="2" hidden="1">2</definedName>
    <definedName name="solver_typ" localSheetId="5" hidden="1">2</definedName>
    <definedName name="solver_typ" localSheetId="7" hidden="1">2</definedName>
    <definedName name="solver_typ" localSheetId="1" hidden="1">2</definedName>
    <definedName name="solver_val" localSheetId="2" hidden="1">0</definedName>
    <definedName name="solver_val" localSheetId="5" hidden="1">0</definedName>
    <definedName name="solver_val" localSheetId="7" hidden="1">0</definedName>
    <definedName name="solver_val" localSheetId="1" hidden="1">0</definedName>
    <definedName name="solver_ver" localSheetId="2" hidden="1">2</definedName>
    <definedName name="solver_ver" localSheetId="5" hidden="1">2</definedName>
    <definedName name="solver_ver" localSheetId="7" hidden="1">2</definedName>
    <definedName name="solver_ver" localSheetId="1" hidden="1">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1" i="2" l="1"/>
  <c r="B40" i="2"/>
  <c r="B39" i="2"/>
  <c r="B42" i="2" s="1"/>
  <c r="B67" i="11"/>
  <c r="C67" i="11"/>
  <c r="D67" i="11"/>
  <c r="E67" i="11"/>
  <c r="F67" i="11"/>
  <c r="G67" i="11"/>
  <c r="H67" i="11"/>
  <c r="I67" i="11"/>
  <c r="J67" i="11"/>
  <c r="K67" i="11"/>
  <c r="L67" i="11"/>
  <c r="A67" i="11"/>
  <c r="B66" i="11"/>
  <c r="C66" i="11"/>
  <c r="D66" i="11"/>
  <c r="E66" i="11"/>
  <c r="F66" i="11"/>
  <c r="G66" i="11"/>
  <c r="H66" i="11"/>
  <c r="I66" i="11"/>
  <c r="J66" i="11"/>
  <c r="K66" i="11"/>
  <c r="L66" i="11"/>
  <c r="A66" i="11"/>
  <c r="F17" i="11"/>
  <c r="G17" i="11"/>
  <c r="E3" i="6"/>
  <c r="F4" i="6" s="1"/>
  <c r="G5" i="6" s="1"/>
  <c r="H6" i="6" s="1"/>
  <c r="I7" i="6" s="1"/>
  <c r="J8" i="6" s="1"/>
  <c r="K9" i="6" s="1"/>
  <c r="L10" i="6" s="1"/>
  <c r="M11" i="6" s="1"/>
  <c r="N12" i="6" s="1"/>
  <c r="O13" i="6" s="1"/>
  <c r="F3" i="6"/>
  <c r="G3" i="6"/>
  <c r="H4" i="6" s="1"/>
  <c r="I5" i="6" s="1"/>
  <c r="J6" i="6" s="1"/>
  <c r="K7" i="6" s="1"/>
  <c r="L8" i="6" s="1"/>
  <c r="M9" i="6" s="1"/>
  <c r="N10" i="6" s="1"/>
  <c r="O11" i="6" s="1"/>
  <c r="H3" i="6"/>
  <c r="I3" i="6"/>
  <c r="J4" i="6" s="1"/>
  <c r="K5" i="6" s="1"/>
  <c r="L6" i="6" s="1"/>
  <c r="M7" i="6" s="1"/>
  <c r="N8" i="6" s="1"/>
  <c r="O9" i="6" s="1"/>
  <c r="J3" i="6"/>
  <c r="K3" i="6"/>
  <c r="L4" i="6" s="1"/>
  <c r="M5" i="6" s="1"/>
  <c r="N6" i="6" s="1"/>
  <c r="O7" i="6" s="1"/>
  <c r="L3" i="6"/>
  <c r="M4" i="6" s="1"/>
  <c r="N5" i="6" s="1"/>
  <c r="O6" i="6" s="1"/>
  <c r="M3" i="6"/>
  <c r="N4" i="6" s="1"/>
  <c r="O5" i="6" s="1"/>
  <c r="N3" i="6"/>
  <c r="O3" i="6"/>
  <c r="G4" i="6"/>
  <c r="I4" i="6"/>
  <c r="J5" i="6" s="1"/>
  <c r="K6" i="6" s="1"/>
  <c r="L7" i="6" s="1"/>
  <c r="M8" i="6" s="1"/>
  <c r="N9" i="6" s="1"/>
  <c r="O10" i="6" s="1"/>
  <c r="K4" i="6"/>
  <c r="O4" i="6"/>
  <c r="H5" i="6"/>
  <c r="I6" i="6" s="1"/>
  <c r="J7" i="6" s="1"/>
  <c r="K8" i="6" s="1"/>
  <c r="L9" i="6" s="1"/>
  <c r="M10" i="6" s="1"/>
  <c r="N11" i="6" s="1"/>
  <c r="O12" i="6" s="1"/>
  <c r="L5" i="6"/>
  <c r="M6" i="6" s="1"/>
  <c r="N7" i="6" s="1"/>
  <c r="O8" i="6" s="1"/>
  <c r="B38" i="6"/>
  <c r="C4" i="6" s="1"/>
  <c r="D5" i="6" s="1"/>
  <c r="E6" i="6" s="1"/>
  <c r="F7" i="6" s="1"/>
  <c r="G8" i="6" s="1"/>
  <c r="H9" i="6" s="1"/>
  <c r="I10" i="6" s="1"/>
  <c r="J11" i="6" s="1"/>
  <c r="K12" i="6" s="1"/>
  <c r="L13" i="6" s="1"/>
  <c r="M14" i="6" s="1"/>
  <c r="N15" i="6" s="1"/>
  <c r="O16" i="6" s="1"/>
  <c r="C3" i="6"/>
  <c r="D4" i="6" s="1"/>
  <c r="E5" i="6" s="1"/>
  <c r="F6" i="6" s="1"/>
  <c r="G7" i="6" s="1"/>
  <c r="H8" i="6" s="1"/>
  <c r="I9" i="6" s="1"/>
  <c r="J10" i="6" s="1"/>
  <c r="K11" i="6" s="1"/>
  <c r="L12" i="6" s="1"/>
  <c r="M13" i="6" s="1"/>
  <c r="N14" i="6" s="1"/>
  <c r="O15" i="6" s="1"/>
  <c r="C8" i="6"/>
  <c r="D9" i="6" s="1"/>
  <c r="E10" i="6" s="1"/>
  <c r="F11" i="6" s="1"/>
  <c r="G12" i="6" s="1"/>
  <c r="H13" i="6" s="1"/>
  <c r="I14" i="6" s="1"/>
  <c r="J15" i="6" s="1"/>
  <c r="K16" i="6" s="1"/>
  <c r="L17" i="6" s="1"/>
  <c r="M18" i="6" s="1"/>
  <c r="N19" i="6" s="1"/>
  <c r="O20" i="6" s="1"/>
  <c r="C9" i="6"/>
  <c r="D10" i="6" s="1"/>
  <c r="E11" i="6" s="1"/>
  <c r="F12" i="6" s="1"/>
  <c r="G13" i="6" s="1"/>
  <c r="H14" i="6" s="1"/>
  <c r="I15" i="6" s="1"/>
  <c r="J16" i="6" s="1"/>
  <c r="K17" i="6" s="1"/>
  <c r="L18" i="6" s="1"/>
  <c r="M19" i="6" s="1"/>
  <c r="N20" i="6" s="1"/>
  <c r="O21" i="6" s="1"/>
  <c r="C11" i="6"/>
  <c r="D12" i="6" s="1"/>
  <c r="E13" i="6" s="1"/>
  <c r="F14" i="6" s="1"/>
  <c r="G15" i="6" s="1"/>
  <c r="H16" i="6" s="1"/>
  <c r="I17" i="6" s="1"/>
  <c r="J18" i="6" s="1"/>
  <c r="K19" i="6" s="1"/>
  <c r="L20" i="6" s="1"/>
  <c r="M21" i="6" s="1"/>
  <c r="N22" i="6" s="1"/>
  <c r="O23" i="6" s="1"/>
  <c r="C16" i="6"/>
  <c r="D17" i="6" s="1"/>
  <c r="E18" i="6" s="1"/>
  <c r="F19" i="6" s="1"/>
  <c r="G20" i="6" s="1"/>
  <c r="H21" i="6" s="1"/>
  <c r="I22" i="6" s="1"/>
  <c r="J23" i="6" s="1"/>
  <c r="K24" i="6" s="1"/>
  <c r="L25" i="6" s="1"/>
  <c r="M26" i="6" s="1"/>
  <c r="N27" i="6" s="1"/>
  <c r="O28" i="6" s="1"/>
  <c r="C24" i="6"/>
  <c r="D25" i="6" s="1"/>
  <c r="E26" i="6" s="1"/>
  <c r="F27" i="6" s="1"/>
  <c r="G28" i="6" s="1"/>
  <c r="H29" i="6" s="1"/>
  <c r="I30" i="6" s="1"/>
  <c r="J31" i="6" s="1"/>
  <c r="K32" i="6" s="1"/>
  <c r="L33" i="6" s="1"/>
  <c r="M34" i="6" s="1"/>
  <c r="N35" i="6" s="1"/>
  <c r="O36" i="6" s="1"/>
  <c r="C25" i="6"/>
  <c r="D26" i="6" s="1"/>
  <c r="E27" i="6" s="1"/>
  <c r="F28" i="6" s="1"/>
  <c r="G29" i="6" s="1"/>
  <c r="H30" i="6" s="1"/>
  <c r="I31" i="6" s="1"/>
  <c r="J32" i="6" s="1"/>
  <c r="K33" i="6" s="1"/>
  <c r="L34" i="6" s="1"/>
  <c r="M35" i="6" s="1"/>
  <c r="N36" i="6" s="1"/>
  <c r="O37" i="6" s="1"/>
  <c r="C27" i="6"/>
  <c r="D28" i="6" s="1"/>
  <c r="E29" i="6" s="1"/>
  <c r="F30" i="6" s="1"/>
  <c r="G31" i="6" s="1"/>
  <c r="H32" i="6" s="1"/>
  <c r="I33" i="6" s="1"/>
  <c r="J34" i="6" s="1"/>
  <c r="K35" i="6" s="1"/>
  <c r="L36" i="6" s="1"/>
  <c r="M37" i="6" s="1"/>
  <c r="C32" i="6"/>
  <c r="D33" i="6" s="1"/>
  <c r="E34" i="6" s="1"/>
  <c r="F35" i="6" s="1"/>
  <c r="G36" i="6" s="1"/>
  <c r="H37" i="6" s="1"/>
  <c r="C33" i="6"/>
  <c r="D34" i="6" s="1"/>
  <c r="E35" i="6" s="1"/>
  <c r="F36" i="6" s="1"/>
  <c r="G37" i="6" s="1"/>
  <c r="C35" i="6"/>
  <c r="D36" i="6" s="1"/>
  <c r="E37" i="6" s="1"/>
  <c r="O42" i="18"/>
  <c r="N42" i="18"/>
  <c r="M42" i="18"/>
  <c r="L42" i="18"/>
  <c r="K42" i="18"/>
  <c r="J42" i="18"/>
  <c r="I42" i="18"/>
  <c r="H42" i="18"/>
  <c r="G42" i="18"/>
  <c r="F42" i="18"/>
  <c r="E42" i="18"/>
  <c r="D42" i="18"/>
  <c r="O41" i="18"/>
  <c r="N41" i="18"/>
  <c r="M41" i="18"/>
  <c r="L41" i="18"/>
  <c r="K41" i="18"/>
  <c r="J41" i="18"/>
  <c r="I41" i="18"/>
  <c r="H41" i="18"/>
  <c r="G41" i="18"/>
  <c r="F41" i="18"/>
  <c r="E41" i="18"/>
  <c r="D41" i="18"/>
  <c r="B38" i="18"/>
  <c r="C15" i="18" s="1"/>
  <c r="C23" i="18"/>
  <c r="O35" i="18"/>
  <c r="C19" i="18"/>
  <c r="O31" i="18" s="1"/>
  <c r="K31" i="18"/>
  <c r="M29" i="18"/>
  <c r="G27" i="18"/>
  <c r="C14" i="18"/>
  <c r="D15" i="18" s="1"/>
  <c r="C10" i="18"/>
  <c r="L19" i="18" s="1"/>
  <c r="E21" i="18"/>
  <c r="C7" i="18"/>
  <c r="D8" i="18" s="1"/>
  <c r="C6" i="18"/>
  <c r="E8" i="18" s="1"/>
  <c r="C3" i="18"/>
  <c r="O15" i="18" s="1"/>
  <c r="C2" i="18"/>
  <c r="O14" i="18"/>
  <c r="O13" i="18"/>
  <c r="N13" i="18"/>
  <c r="O12" i="18"/>
  <c r="N12" i="18"/>
  <c r="M12" i="18"/>
  <c r="O11" i="18"/>
  <c r="N11" i="18"/>
  <c r="M11" i="18"/>
  <c r="L11" i="18"/>
  <c r="O10" i="18"/>
  <c r="N10" i="18"/>
  <c r="M10" i="18"/>
  <c r="L10" i="18"/>
  <c r="K10" i="18"/>
  <c r="J10" i="18"/>
  <c r="O9" i="18"/>
  <c r="N9" i="18"/>
  <c r="M9" i="18"/>
  <c r="L9" i="18"/>
  <c r="K9" i="18"/>
  <c r="J9" i="18"/>
  <c r="I9" i="18"/>
  <c r="E9" i="18"/>
  <c r="O8" i="18"/>
  <c r="N8" i="18"/>
  <c r="M8" i="18"/>
  <c r="L8" i="18"/>
  <c r="K8" i="18"/>
  <c r="J8" i="18"/>
  <c r="I8" i="18"/>
  <c r="H8" i="18"/>
  <c r="O7" i="18"/>
  <c r="N7" i="18"/>
  <c r="M7" i="18"/>
  <c r="L7" i="18"/>
  <c r="K7" i="18"/>
  <c r="J7" i="18"/>
  <c r="I7" i="18"/>
  <c r="H7" i="18"/>
  <c r="O6" i="18"/>
  <c r="N6" i="18"/>
  <c r="M6" i="18"/>
  <c r="L6" i="18"/>
  <c r="K6" i="18"/>
  <c r="J6" i="18"/>
  <c r="I6" i="18"/>
  <c r="H6" i="18"/>
  <c r="G6" i="18"/>
  <c r="F6" i="18"/>
  <c r="O5" i="18"/>
  <c r="N5" i="18"/>
  <c r="M5" i="18"/>
  <c r="L5" i="18"/>
  <c r="K5" i="18"/>
  <c r="J5" i="18"/>
  <c r="I5" i="18"/>
  <c r="H5" i="18"/>
  <c r="G5" i="18"/>
  <c r="F5" i="18"/>
  <c r="O4" i="18"/>
  <c r="N4" i="18"/>
  <c r="M4" i="18"/>
  <c r="L4" i="18"/>
  <c r="K4" i="18"/>
  <c r="J4" i="18"/>
  <c r="I4" i="18"/>
  <c r="H4" i="18"/>
  <c r="G4" i="18"/>
  <c r="F4" i="18"/>
  <c r="E4" i="18"/>
  <c r="O3" i="18"/>
  <c r="N3" i="18"/>
  <c r="M3" i="18"/>
  <c r="L3" i="18"/>
  <c r="K3" i="18"/>
  <c r="J3" i="18"/>
  <c r="I3" i="18"/>
  <c r="H3" i="18"/>
  <c r="G3" i="18"/>
  <c r="F3" i="18"/>
  <c r="E3" i="18"/>
  <c r="D3" i="18"/>
  <c r="O2" i="18"/>
  <c r="N2" i="18"/>
  <c r="M2" i="18"/>
  <c r="L2" i="18"/>
  <c r="K2" i="18"/>
  <c r="J2" i="18"/>
  <c r="I2" i="18"/>
  <c r="H2" i="18"/>
  <c r="G2" i="18"/>
  <c r="F2" i="18"/>
  <c r="E2" i="18"/>
  <c r="D2" i="18"/>
  <c r="O42" i="6"/>
  <c r="E42" i="6"/>
  <c r="F42" i="6"/>
  <c r="G42" i="6"/>
  <c r="H42" i="6"/>
  <c r="I42" i="6"/>
  <c r="J42" i="6"/>
  <c r="K42" i="6"/>
  <c r="L42" i="6"/>
  <c r="M42" i="6"/>
  <c r="N42" i="6"/>
  <c r="D42" i="6"/>
  <c r="E41" i="6"/>
  <c r="F41" i="6"/>
  <c r="G41" i="6"/>
  <c r="H41" i="6"/>
  <c r="I41" i="6"/>
  <c r="J41" i="6"/>
  <c r="K41" i="6"/>
  <c r="L41" i="6"/>
  <c r="M41" i="6"/>
  <c r="N41" i="6"/>
  <c r="O41" i="6"/>
  <c r="D41" i="6"/>
  <c r="F17" i="7"/>
  <c r="G17" i="7"/>
  <c r="C15" i="13"/>
  <c r="D15" i="13" s="1"/>
  <c r="C27" i="13"/>
  <c r="D27" i="13" s="1"/>
  <c r="C16" i="13"/>
  <c r="D16" i="13" s="1"/>
  <c r="C28" i="13"/>
  <c r="D28" i="13" s="1"/>
  <c r="C17" i="13"/>
  <c r="D17" i="13"/>
  <c r="C29" i="13"/>
  <c r="D29" i="13" s="1"/>
  <c r="C18" i="13"/>
  <c r="D18" i="13" s="1"/>
  <c r="C30" i="13"/>
  <c r="D30" i="13" s="1"/>
  <c r="C19" i="13"/>
  <c r="D19" i="13" s="1"/>
  <c r="C31" i="13"/>
  <c r="D31" i="13" s="1"/>
  <c r="C8" i="13"/>
  <c r="D8" i="13" s="1"/>
  <c r="E8" i="13" s="1"/>
  <c r="F8" i="13" s="1"/>
  <c r="C20" i="13"/>
  <c r="D20" i="13"/>
  <c r="C9" i="13"/>
  <c r="D9" i="13" s="1"/>
  <c r="C21" i="13"/>
  <c r="D21" i="13" s="1"/>
  <c r="C10" i="13"/>
  <c r="D10" i="13" s="1"/>
  <c r="C22" i="13"/>
  <c r="D22" i="13" s="1"/>
  <c r="E10" i="13" s="1"/>
  <c r="F10" i="13" s="1"/>
  <c r="C11" i="13"/>
  <c r="D11" i="13"/>
  <c r="C23" i="13"/>
  <c r="D23" i="13" s="1"/>
  <c r="E11" i="13" s="1"/>
  <c r="F11" i="13" s="1"/>
  <c r="C12" i="13"/>
  <c r="D12" i="13" s="1"/>
  <c r="C24" i="13"/>
  <c r="D24" i="13" s="1"/>
  <c r="C13" i="13"/>
  <c r="D13" i="13"/>
  <c r="C25" i="13"/>
  <c r="D25" i="13" s="1"/>
  <c r="C14" i="13"/>
  <c r="D14" i="13" s="1"/>
  <c r="C26" i="13"/>
  <c r="D2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2" i="13"/>
  <c r="C37" i="6"/>
  <c r="E6" i="5"/>
  <c r="F6" i="5"/>
  <c r="G6" i="5"/>
  <c r="C5" i="3"/>
  <c r="D6" i="3" s="1"/>
  <c r="E6" i="3" s="1"/>
  <c r="F6" i="3" s="1"/>
  <c r="E4" i="13" l="1"/>
  <c r="F4" i="13" s="1"/>
  <c r="I12" i="18"/>
  <c r="E13" i="13"/>
  <c r="F13" i="13" s="1"/>
  <c r="H11" i="18"/>
  <c r="F17" i="18"/>
  <c r="L23" i="18"/>
  <c r="C19" i="6"/>
  <c r="D20" i="6" s="1"/>
  <c r="E21" i="6" s="1"/>
  <c r="F22" i="6" s="1"/>
  <c r="G23" i="6" s="1"/>
  <c r="H24" i="6" s="1"/>
  <c r="I25" i="6" s="1"/>
  <c r="J26" i="6" s="1"/>
  <c r="K27" i="6" s="1"/>
  <c r="L28" i="6" s="1"/>
  <c r="M29" i="6" s="1"/>
  <c r="N30" i="6" s="1"/>
  <c r="O31" i="6" s="1"/>
  <c r="K15" i="18"/>
  <c r="E9" i="13"/>
  <c r="F9" i="13" s="1"/>
  <c r="D7" i="18"/>
  <c r="I13" i="18"/>
  <c r="N17" i="18"/>
  <c r="N25" i="18"/>
  <c r="C17" i="6"/>
  <c r="D18" i="6" s="1"/>
  <c r="E19" i="6" s="1"/>
  <c r="F20" i="6" s="1"/>
  <c r="G21" i="6" s="1"/>
  <c r="H22" i="6" s="1"/>
  <c r="I23" i="6" s="1"/>
  <c r="J24" i="6" s="1"/>
  <c r="K25" i="6" s="1"/>
  <c r="L26" i="6" s="1"/>
  <c r="M27" i="6" s="1"/>
  <c r="N28" i="6" s="1"/>
  <c r="O29" i="6" s="1"/>
  <c r="H19" i="18"/>
  <c r="J21" i="18"/>
  <c r="K23" i="18"/>
  <c r="G19" i="18"/>
  <c r="O27" i="18"/>
  <c r="E7" i="13"/>
  <c r="F7" i="13" s="1"/>
  <c r="E3" i="13"/>
  <c r="F3" i="13" s="1"/>
  <c r="F9" i="18"/>
  <c r="F10" i="18"/>
  <c r="L15" i="18"/>
  <c r="O19" i="18"/>
  <c r="C11" i="18"/>
  <c r="C18" i="18"/>
  <c r="L27" i="18" s="1"/>
  <c r="C34" i="6"/>
  <c r="D35" i="6" s="1"/>
  <c r="E36" i="6" s="1"/>
  <c r="F37" i="6" s="1"/>
  <c r="C26" i="6"/>
  <c r="D27" i="6" s="1"/>
  <c r="E28" i="6" s="1"/>
  <c r="F29" i="6" s="1"/>
  <c r="G30" i="6" s="1"/>
  <c r="H31" i="6" s="1"/>
  <c r="I32" i="6" s="1"/>
  <c r="J33" i="6" s="1"/>
  <c r="K34" i="6" s="1"/>
  <c r="L35" i="6" s="1"/>
  <c r="M36" i="6" s="1"/>
  <c r="N37" i="6" s="1"/>
  <c r="C18" i="6"/>
  <c r="D19" i="6" s="1"/>
  <c r="E20" i="6" s="1"/>
  <c r="F21" i="6" s="1"/>
  <c r="G22" i="6" s="1"/>
  <c r="H23" i="6" s="1"/>
  <c r="I24" i="6" s="1"/>
  <c r="J25" i="6" s="1"/>
  <c r="K26" i="6" s="1"/>
  <c r="L27" i="6" s="1"/>
  <c r="M28" i="6" s="1"/>
  <c r="N29" i="6" s="1"/>
  <c r="O30" i="6" s="1"/>
  <c r="C10" i="6"/>
  <c r="D11" i="6" s="1"/>
  <c r="E12" i="6" s="1"/>
  <c r="F13" i="6" s="1"/>
  <c r="G14" i="6" s="1"/>
  <c r="H15" i="6" s="1"/>
  <c r="I16" i="6" s="1"/>
  <c r="J17" i="6" s="1"/>
  <c r="K18" i="6" s="1"/>
  <c r="L19" i="6" s="1"/>
  <c r="M20" i="6" s="1"/>
  <c r="N21" i="6" s="1"/>
  <c r="O22" i="6" s="1"/>
  <c r="C2" i="6"/>
  <c r="I25" i="18"/>
  <c r="C31" i="6"/>
  <c r="D32" i="6" s="1"/>
  <c r="E33" i="6" s="1"/>
  <c r="F34" i="6" s="1"/>
  <c r="G35" i="6" s="1"/>
  <c r="H36" i="6" s="1"/>
  <c r="I37" i="6" s="1"/>
  <c r="C15" i="6"/>
  <c r="D16" i="6" s="1"/>
  <c r="E17" i="6" s="1"/>
  <c r="C7" i="6"/>
  <c r="D8" i="6" s="1"/>
  <c r="E9" i="6" s="1"/>
  <c r="F10" i="6" s="1"/>
  <c r="G11" i="6" s="1"/>
  <c r="H12" i="6" s="1"/>
  <c r="I13" i="6" s="1"/>
  <c r="C30" i="6"/>
  <c r="D31" i="6" s="1"/>
  <c r="E32" i="6" s="1"/>
  <c r="F33" i="6" s="1"/>
  <c r="G34" i="6" s="1"/>
  <c r="H35" i="6" s="1"/>
  <c r="I36" i="6" s="1"/>
  <c r="J37" i="6" s="1"/>
  <c r="C6" i="6"/>
  <c r="D7" i="6" s="1"/>
  <c r="E8" i="6" s="1"/>
  <c r="F9" i="6" s="1"/>
  <c r="G10" i="6" s="1"/>
  <c r="H11" i="6" s="1"/>
  <c r="I12" i="6" s="1"/>
  <c r="J13" i="6" s="1"/>
  <c r="K14" i="6" s="1"/>
  <c r="L15" i="6" s="1"/>
  <c r="M16" i="6" s="1"/>
  <c r="N17" i="6" s="1"/>
  <c r="O18" i="6" s="1"/>
  <c r="C14" i="6"/>
  <c r="D15" i="6" s="1"/>
  <c r="E16" i="6" s="1"/>
  <c r="F17" i="6" s="1"/>
  <c r="G18" i="6" s="1"/>
  <c r="H19" i="6" s="1"/>
  <c r="I20" i="6" s="1"/>
  <c r="J21" i="6" s="1"/>
  <c r="K22" i="6" s="1"/>
  <c r="L23" i="6" s="1"/>
  <c r="M24" i="6" s="1"/>
  <c r="N25" i="6" s="1"/>
  <c r="O26" i="6" s="1"/>
  <c r="C23" i="6"/>
  <c r="D24" i="6" s="1"/>
  <c r="E25" i="6" s="1"/>
  <c r="F26" i="6" s="1"/>
  <c r="G27" i="6" s="1"/>
  <c r="H28" i="6" s="1"/>
  <c r="I29" i="6" s="1"/>
  <c r="J30" i="6" s="1"/>
  <c r="K31" i="6" s="1"/>
  <c r="L32" i="6" s="1"/>
  <c r="M33" i="6" s="1"/>
  <c r="N34" i="6" s="1"/>
  <c r="O35" i="6" s="1"/>
  <c r="E5" i="13"/>
  <c r="F5" i="13" s="1"/>
  <c r="H12" i="18"/>
  <c r="C22" i="6"/>
  <c r="D23" i="6" s="1"/>
  <c r="E24" i="6" s="1"/>
  <c r="F25" i="6" s="1"/>
  <c r="G26" i="6" s="1"/>
  <c r="H27" i="6" s="1"/>
  <c r="I28" i="6" s="1"/>
  <c r="J29" i="6" s="1"/>
  <c r="K30" i="6" s="1"/>
  <c r="L31" i="6" s="1"/>
  <c r="M32" i="6" s="1"/>
  <c r="N33" i="6" s="1"/>
  <c r="O34" i="6" s="1"/>
  <c r="C29" i="6"/>
  <c r="D30" i="6" s="1"/>
  <c r="E31" i="6" s="1"/>
  <c r="F32" i="6" s="1"/>
  <c r="G33" i="6" s="1"/>
  <c r="H34" i="6" s="1"/>
  <c r="I35" i="6" s="1"/>
  <c r="J36" i="6" s="1"/>
  <c r="K37" i="6" s="1"/>
  <c r="C21" i="6"/>
  <c r="D22" i="6" s="1"/>
  <c r="E23" i="6" s="1"/>
  <c r="F24" i="6" s="1"/>
  <c r="G25" i="6" s="1"/>
  <c r="H26" i="6" s="1"/>
  <c r="I27" i="6" s="1"/>
  <c r="J28" i="6" s="1"/>
  <c r="K29" i="6" s="1"/>
  <c r="L30" i="6" s="1"/>
  <c r="M31" i="6" s="1"/>
  <c r="N32" i="6" s="1"/>
  <c r="O33" i="6" s="1"/>
  <c r="C13" i="6"/>
  <c r="D14" i="6" s="1"/>
  <c r="E15" i="6" s="1"/>
  <c r="F16" i="6" s="1"/>
  <c r="G17" i="6" s="1"/>
  <c r="H18" i="6" s="1"/>
  <c r="I19" i="6" s="1"/>
  <c r="J20" i="6" s="1"/>
  <c r="K21" i="6" s="1"/>
  <c r="L22" i="6" s="1"/>
  <c r="M23" i="6" s="1"/>
  <c r="N24" i="6" s="1"/>
  <c r="O25" i="6" s="1"/>
  <c r="C5" i="6"/>
  <c r="D6" i="6" s="1"/>
  <c r="E7" i="6" s="1"/>
  <c r="F8" i="6" s="1"/>
  <c r="G9" i="6" s="1"/>
  <c r="H10" i="6" s="1"/>
  <c r="I11" i="6" s="1"/>
  <c r="J12" i="6" s="1"/>
  <c r="K13" i="6" s="1"/>
  <c r="L14" i="6" s="1"/>
  <c r="M15" i="6" s="1"/>
  <c r="N16" i="6" s="1"/>
  <c r="O17" i="6" s="1"/>
  <c r="C36" i="6"/>
  <c r="D37" i="6" s="1"/>
  <c r="C28" i="6"/>
  <c r="D29" i="6" s="1"/>
  <c r="E30" i="6" s="1"/>
  <c r="F31" i="6" s="1"/>
  <c r="G32" i="6" s="1"/>
  <c r="H33" i="6" s="1"/>
  <c r="I34" i="6" s="1"/>
  <c r="J35" i="6" s="1"/>
  <c r="K36" i="6" s="1"/>
  <c r="L37" i="6" s="1"/>
  <c r="C20" i="6"/>
  <c r="D21" i="6" s="1"/>
  <c r="E22" i="6" s="1"/>
  <c r="F23" i="6" s="1"/>
  <c r="G24" i="6" s="1"/>
  <c r="H25" i="6" s="1"/>
  <c r="I26" i="6" s="1"/>
  <c r="J27" i="6" s="1"/>
  <c r="K28" i="6" s="1"/>
  <c r="L29" i="6" s="1"/>
  <c r="M30" i="6" s="1"/>
  <c r="N31" i="6" s="1"/>
  <c r="O32" i="6" s="1"/>
  <c r="C12" i="6"/>
  <c r="D13" i="6" s="1"/>
  <c r="E14" i="6" s="1"/>
  <c r="F15" i="6" s="1"/>
  <c r="G16" i="6" s="1"/>
  <c r="H17" i="6" s="1"/>
  <c r="I18" i="6" s="1"/>
  <c r="J19" i="6" s="1"/>
  <c r="K20" i="6" s="1"/>
  <c r="L21" i="6" s="1"/>
  <c r="M22" i="6" s="1"/>
  <c r="N23" i="6" s="1"/>
  <c r="O24" i="6" s="1"/>
  <c r="F18" i="6"/>
  <c r="J14" i="6"/>
  <c r="E2" i="13"/>
  <c r="F2" i="13" s="1"/>
  <c r="E12" i="13"/>
  <c r="F12" i="13" s="1"/>
  <c r="E6" i="13"/>
  <c r="F6" i="13" s="1"/>
  <c r="D4" i="18"/>
  <c r="D11" i="18"/>
  <c r="D12" i="18"/>
  <c r="L12" i="18"/>
  <c r="J17" i="18"/>
  <c r="G11" i="18"/>
  <c r="N18" i="18"/>
  <c r="L16" i="18"/>
  <c r="J14" i="18"/>
  <c r="F21" i="18"/>
  <c r="N21" i="18"/>
  <c r="J25" i="18"/>
  <c r="N26" i="18"/>
  <c r="L24" i="18"/>
  <c r="J22" i="18"/>
  <c r="H20" i="18"/>
  <c r="F18" i="18"/>
  <c r="D16" i="18"/>
  <c r="N29" i="18"/>
  <c r="N34" i="18"/>
  <c r="L32" i="18"/>
  <c r="J30" i="18"/>
  <c r="H28" i="18"/>
  <c r="F26" i="18"/>
  <c r="D24" i="18"/>
  <c r="C26" i="18"/>
  <c r="C28" i="18"/>
  <c r="C30" i="18"/>
  <c r="C32" i="18"/>
  <c r="C34" i="18"/>
  <c r="C36" i="18"/>
  <c r="D37" i="18" s="1"/>
  <c r="C25" i="18"/>
  <c r="C27" i="18"/>
  <c r="C29" i="18"/>
  <c r="C31" i="18"/>
  <c r="C33" i="18"/>
  <c r="C35" i="18"/>
  <c r="C37" i="18"/>
  <c r="C21" i="18"/>
  <c r="C17" i="18"/>
  <c r="C13" i="18"/>
  <c r="C9" i="18"/>
  <c r="C5" i="18"/>
  <c r="C20" i="18"/>
  <c r="C16" i="18"/>
  <c r="C12" i="18"/>
  <c r="C8" i="18"/>
  <c r="C4" i="18"/>
  <c r="E5" i="18"/>
  <c r="E12" i="18"/>
  <c r="E13" i="18"/>
  <c r="M13" i="18"/>
  <c r="G15" i="18"/>
  <c r="E17" i="18"/>
  <c r="M17" i="18"/>
  <c r="O18" i="18"/>
  <c r="M16" i="18"/>
  <c r="K14" i="18"/>
  <c r="G10" i="18"/>
  <c r="J13" i="18"/>
  <c r="K19" i="18"/>
  <c r="I21" i="18"/>
  <c r="G23" i="18"/>
  <c r="E25" i="18"/>
  <c r="M25" i="18"/>
  <c r="O26" i="18"/>
  <c r="M24" i="18"/>
  <c r="K22" i="18"/>
  <c r="I20" i="18"/>
  <c r="G18" i="18"/>
  <c r="E16" i="18"/>
  <c r="K27" i="18"/>
  <c r="I29" i="18"/>
  <c r="M33" i="18"/>
  <c r="C22" i="18"/>
  <c r="C24" i="18"/>
  <c r="D6" i="5"/>
  <c r="C6" i="5"/>
  <c r="C17" i="7"/>
  <c r="D17" i="7"/>
  <c r="E17" i="7"/>
  <c r="H17" i="7"/>
  <c r="H15" i="18"/>
  <c r="K11" i="18"/>
  <c r="G7" i="18"/>
  <c r="N14" i="18"/>
  <c r="D19" i="18"/>
  <c r="H23" i="18"/>
  <c r="N22" i="18"/>
  <c r="L20" i="18"/>
  <c r="J18" i="18"/>
  <c r="H16" i="18"/>
  <c r="F14" i="18"/>
  <c r="N30" i="18"/>
  <c r="L28" i="18"/>
  <c r="J26" i="18"/>
  <c r="H24" i="18"/>
  <c r="F22" i="18"/>
  <c r="D20" i="18"/>
  <c r="O22" i="18"/>
  <c r="M20" i="18"/>
  <c r="K18" i="18"/>
  <c r="I16" i="18"/>
  <c r="G14" i="18"/>
  <c r="F13" i="18"/>
  <c r="O30" i="18"/>
  <c r="M28" i="18"/>
  <c r="K26" i="18"/>
  <c r="I24" i="18"/>
  <c r="G22" i="18"/>
  <c r="E20" i="18"/>
  <c r="C17" i="11"/>
  <c r="E17" i="11"/>
  <c r="D17" i="11"/>
  <c r="H17" i="11"/>
  <c r="C6" i="3"/>
  <c r="D3" i="6" l="1"/>
  <c r="E4" i="6" s="1"/>
  <c r="F5" i="6" s="1"/>
  <c r="G6" i="6" s="1"/>
  <c r="H7" i="6" s="1"/>
  <c r="I8" i="6" s="1"/>
  <c r="J9" i="6" s="1"/>
  <c r="K10" i="6" s="1"/>
  <c r="L11" i="6" s="1"/>
  <c r="M12" i="6" s="1"/>
  <c r="N13" i="6" s="1"/>
  <c r="O14" i="6" s="1"/>
  <c r="C38" i="6"/>
  <c r="D38" i="6"/>
  <c r="E38" i="6"/>
  <c r="O23" i="18"/>
  <c r="M21" i="18"/>
  <c r="I17" i="18"/>
  <c r="C18" i="7"/>
  <c r="F18" i="7"/>
  <c r="G18" i="7" s="1"/>
  <c r="O34" i="18"/>
  <c r="M32" i="18"/>
  <c r="K30" i="18"/>
  <c r="I28" i="18"/>
  <c r="G26" i="18"/>
  <c r="E24" i="18"/>
  <c r="N33" i="18"/>
  <c r="J29" i="18"/>
  <c r="F25" i="18"/>
  <c r="L31" i="18"/>
  <c r="H27" i="18"/>
  <c r="D23" i="18"/>
  <c r="N19" i="18"/>
  <c r="L17" i="18"/>
  <c r="J15" i="18"/>
  <c r="G12" i="18"/>
  <c r="F11" i="18"/>
  <c r="I14" i="18"/>
  <c r="O20" i="18"/>
  <c r="K16" i="18"/>
  <c r="H13" i="18"/>
  <c r="E10" i="18"/>
  <c r="D9" i="18"/>
  <c r="M18" i="18"/>
  <c r="K13" i="18"/>
  <c r="G9" i="18"/>
  <c r="O17" i="18"/>
  <c r="M15" i="18"/>
  <c r="J12" i="18"/>
  <c r="N16" i="18"/>
  <c r="I11" i="18"/>
  <c r="F8" i="18"/>
  <c r="E7" i="18"/>
  <c r="L14" i="18"/>
  <c r="H10" i="18"/>
  <c r="D6" i="18"/>
  <c r="O33" i="18"/>
  <c r="M31" i="18"/>
  <c r="K29" i="18"/>
  <c r="I27" i="18"/>
  <c r="G25" i="18"/>
  <c r="E23" i="18"/>
  <c r="N32" i="18"/>
  <c r="J28" i="18"/>
  <c r="F24" i="18"/>
  <c r="L30" i="18"/>
  <c r="H26" i="18"/>
  <c r="D22" i="18"/>
  <c r="I37" i="18"/>
  <c r="H36" i="18"/>
  <c r="F34" i="18"/>
  <c r="D32" i="18"/>
  <c r="G35" i="18"/>
  <c r="E33" i="18"/>
  <c r="J35" i="18"/>
  <c r="H33" i="18"/>
  <c r="F31" i="18"/>
  <c r="D29" i="18"/>
  <c r="L37" i="18"/>
  <c r="I34" i="18"/>
  <c r="E30" i="18"/>
  <c r="K36" i="18"/>
  <c r="G32" i="18"/>
  <c r="N23" i="18"/>
  <c r="L21" i="18"/>
  <c r="J19" i="18"/>
  <c r="H17" i="18"/>
  <c r="F15" i="18"/>
  <c r="M22" i="18"/>
  <c r="I18" i="18"/>
  <c r="E14" i="18"/>
  <c r="O24" i="18"/>
  <c r="K20" i="18"/>
  <c r="G16" i="18"/>
  <c r="D13" i="18"/>
  <c r="I35" i="18"/>
  <c r="G33" i="18"/>
  <c r="E31" i="18"/>
  <c r="J36" i="18"/>
  <c r="F32" i="18"/>
  <c r="K37" i="18"/>
  <c r="H34" i="18"/>
  <c r="D30" i="18"/>
  <c r="M36" i="18"/>
  <c r="N37" i="18"/>
  <c r="K34" i="18"/>
  <c r="I32" i="18"/>
  <c r="G30" i="18"/>
  <c r="E28" i="18"/>
  <c r="L35" i="18"/>
  <c r="H31" i="18"/>
  <c r="D27" i="18"/>
  <c r="J33" i="18"/>
  <c r="F29" i="18"/>
  <c r="K15" i="6"/>
  <c r="N27" i="18"/>
  <c r="L25" i="18"/>
  <c r="J23" i="18"/>
  <c r="H21" i="18"/>
  <c r="F19" i="18"/>
  <c r="D17" i="18"/>
  <c r="O28" i="18"/>
  <c r="K24" i="18"/>
  <c r="G20" i="18"/>
  <c r="M26" i="18"/>
  <c r="I22" i="18"/>
  <c r="E18" i="18"/>
  <c r="O25" i="18"/>
  <c r="M23" i="18"/>
  <c r="K21" i="18"/>
  <c r="I19" i="18"/>
  <c r="G17" i="18"/>
  <c r="E15" i="18"/>
  <c r="N24" i="18"/>
  <c r="J20" i="18"/>
  <c r="F16" i="18"/>
  <c r="L22" i="18"/>
  <c r="H18" i="18"/>
  <c r="D14" i="18"/>
  <c r="E37" i="18"/>
  <c r="D36" i="18"/>
  <c r="M37" i="18"/>
  <c r="L36" i="18"/>
  <c r="J34" i="18"/>
  <c r="H32" i="18"/>
  <c r="F30" i="18"/>
  <c r="D28" i="18"/>
  <c r="I33" i="18"/>
  <c r="E29" i="18"/>
  <c r="K35" i="18"/>
  <c r="G31" i="18"/>
  <c r="F35" i="18"/>
  <c r="D33" i="18"/>
  <c r="G36" i="18"/>
  <c r="H37" i="18"/>
  <c r="E34" i="18"/>
  <c r="E7" i="5"/>
  <c r="F7" i="5" s="1"/>
  <c r="G7" i="5" s="1"/>
  <c r="G13" i="18"/>
  <c r="O21" i="18"/>
  <c r="M19" i="18"/>
  <c r="K17" i="18"/>
  <c r="I15" i="18"/>
  <c r="F12" i="18"/>
  <c r="L18" i="18"/>
  <c r="H14" i="18"/>
  <c r="N20" i="18"/>
  <c r="J16" i="18"/>
  <c r="E11" i="18"/>
  <c r="D10" i="18"/>
  <c r="F37" i="18"/>
  <c r="E36" i="18"/>
  <c r="D35" i="18"/>
  <c r="D7" i="3"/>
  <c r="E7" i="3" s="1"/>
  <c r="F7" i="3" s="1"/>
  <c r="F18" i="11"/>
  <c r="G18" i="11" s="1"/>
  <c r="C18" i="11" s="1"/>
  <c r="D18" i="7"/>
  <c r="O36" i="18"/>
  <c r="N35" i="18"/>
  <c r="L33" i="18"/>
  <c r="J31" i="18"/>
  <c r="H29" i="18"/>
  <c r="F27" i="18"/>
  <c r="D25" i="18"/>
  <c r="K32" i="18"/>
  <c r="G28" i="18"/>
  <c r="M34" i="18"/>
  <c r="I30" i="18"/>
  <c r="E26" i="18"/>
  <c r="N15" i="18"/>
  <c r="K12" i="18"/>
  <c r="G8" i="18"/>
  <c r="J11" i="18"/>
  <c r="C38" i="18"/>
  <c r="F7" i="18"/>
  <c r="M14" i="18"/>
  <c r="I10" i="18"/>
  <c r="H9" i="18"/>
  <c r="E6" i="18"/>
  <c r="O16" i="18"/>
  <c r="L13" i="18"/>
  <c r="D5" i="18"/>
  <c r="N31" i="18"/>
  <c r="L29" i="18"/>
  <c r="J27" i="18"/>
  <c r="H25" i="18"/>
  <c r="F23" i="18"/>
  <c r="D21" i="18"/>
  <c r="M30" i="18"/>
  <c r="I26" i="18"/>
  <c r="E22" i="18"/>
  <c r="O32" i="18"/>
  <c r="K28" i="18"/>
  <c r="G24" i="18"/>
  <c r="O29" i="18"/>
  <c r="M27" i="18"/>
  <c r="K25" i="18"/>
  <c r="I23" i="18"/>
  <c r="G21" i="18"/>
  <c r="E19" i="18"/>
  <c r="L26" i="18"/>
  <c r="H22" i="18"/>
  <c r="D18" i="18"/>
  <c r="N28" i="18"/>
  <c r="J24" i="18"/>
  <c r="F20" i="18"/>
  <c r="E35" i="18"/>
  <c r="G37" i="18"/>
  <c r="D34" i="18"/>
  <c r="F36" i="18"/>
  <c r="N36" i="18"/>
  <c r="M35" i="18"/>
  <c r="K33" i="18"/>
  <c r="I31" i="18"/>
  <c r="G29" i="18"/>
  <c r="E27" i="18"/>
  <c r="O37" i="18"/>
  <c r="L34" i="18"/>
  <c r="H30" i="18"/>
  <c r="D26" i="18"/>
  <c r="J32" i="18"/>
  <c r="F28" i="18"/>
  <c r="J37" i="18"/>
  <c r="I36" i="18"/>
  <c r="G34" i="18"/>
  <c r="E32" i="18"/>
  <c r="F33" i="18"/>
  <c r="H35" i="18"/>
  <c r="D31" i="18"/>
  <c r="G19" i="6"/>
  <c r="F38" i="6"/>
  <c r="F40" i="6" s="1"/>
  <c r="E40" i="6" l="1"/>
  <c r="D40" i="6"/>
  <c r="J38" i="18"/>
  <c r="J40" i="18" s="1"/>
  <c r="C7" i="5"/>
  <c r="F38" i="18"/>
  <c r="F40" i="18" s="1"/>
  <c r="M38" i="18"/>
  <c r="M40" i="18" s="1"/>
  <c r="D7" i="5"/>
  <c r="E8" i="5" s="1"/>
  <c r="F8" i="5" s="1"/>
  <c r="G8" i="5" s="1"/>
  <c r="L38" i="18"/>
  <c r="L40" i="18" s="1"/>
  <c r="E38" i="18"/>
  <c r="E40" i="18" s="1"/>
  <c r="G38" i="18"/>
  <c r="G40" i="18" s="1"/>
  <c r="N38" i="18"/>
  <c r="N40" i="18" s="1"/>
  <c r="D38" i="18"/>
  <c r="D40" i="18" s="1"/>
  <c r="I38" i="18"/>
  <c r="I40" i="18" s="1"/>
  <c r="O38" i="18"/>
  <c r="O40" i="18" s="1"/>
  <c r="K38" i="18"/>
  <c r="K40" i="18" s="1"/>
  <c r="H38" i="18"/>
  <c r="H40" i="18" s="1"/>
  <c r="H20" i="6"/>
  <c r="G38" i="6"/>
  <c r="G40" i="6" s="1"/>
  <c r="C7" i="3"/>
  <c r="L16" i="6"/>
  <c r="F19" i="7"/>
  <c r="G19" i="7" s="1"/>
  <c r="C19" i="7" s="1"/>
  <c r="H18" i="11"/>
  <c r="E18" i="11"/>
  <c r="E18" i="7"/>
  <c r="H18" i="7"/>
  <c r="D18" i="11"/>
  <c r="D8" i="5" l="1"/>
  <c r="D19" i="7"/>
  <c r="F20" i="7" s="1"/>
  <c r="G20" i="7" s="1"/>
  <c r="D20" i="7" s="1"/>
  <c r="M17" i="6"/>
  <c r="C8" i="5"/>
  <c r="F19" i="11"/>
  <c r="G19" i="11" s="1"/>
  <c r="D8" i="3"/>
  <c r="E8" i="3" s="1"/>
  <c r="F8" i="3" s="1"/>
  <c r="E19" i="7"/>
  <c r="H19" i="7"/>
  <c r="I21" i="6"/>
  <c r="H38" i="6"/>
  <c r="H40" i="6" s="1"/>
  <c r="H19" i="11" l="1"/>
  <c r="E19" i="11"/>
  <c r="C19" i="11"/>
  <c r="N18" i="6"/>
  <c r="J22" i="6"/>
  <c r="I38" i="6"/>
  <c r="I40" i="6" s="1"/>
  <c r="C8" i="3"/>
  <c r="D19" i="11"/>
  <c r="E20" i="7"/>
  <c r="H20" i="7"/>
  <c r="E9" i="5"/>
  <c r="F9" i="5" s="1"/>
  <c r="C9" i="5" s="1"/>
  <c r="C20" i="7"/>
  <c r="G9" i="5" l="1"/>
  <c r="D9" i="5"/>
  <c r="E10" i="5" s="1"/>
  <c r="F10" i="5" s="1"/>
  <c r="G10" i="5" s="1"/>
  <c r="K23" i="6"/>
  <c r="J38" i="6"/>
  <c r="J40" i="6" s="1"/>
  <c r="F21" i="7"/>
  <c r="G21" i="7" s="1"/>
  <c r="D9" i="3"/>
  <c r="E9" i="3" s="1"/>
  <c r="F9" i="3" s="1"/>
  <c r="O19" i="6"/>
  <c r="F20" i="11"/>
  <c r="G20" i="11" s="1"/>
  <c r="D20" i="11" s="1"/>
  <c r="C9" i="3" l="1"/>
  <c r="C20" i="11"/>
  <c r="E21" i="7"/>
  <c r="H21" i="7"/>
  <c r="D21" i="7"/>
  <c r="C21" i="7"/>
  <c r="D10" i="5"/>
  <c r="F21" i="11"/>
  <c r="G21" i="11" s="1"/>
  <c r="D10" i="3"/>
  <c r="E10" i="3" s="1"/>
  <c r="F10" i="3" s="1"/>
  <c r="H20" i="11"/>
  <c r="E20" i="11"/>
  <c r="L24" i="6"/>
  <c r="K38" i="6"/>
  <c r="K40" i="6" s="1"/>
  <c r="C10" i="5"/>
  <c r="C10" i="3" l="1"/>
  <c r="H21" i="11"/>
  <c r="E21" i="11"/>
  <c r="D11" i="3"/>
  <c r="E11" i="3" s="1"/>
  <c r="F11" i="3" s="1"/>
  <c r="M25" i="6"/>
  <c r="L38" i="6"/>
  <c r="L40" i="6" s="1"/>
  <c r="F22" i="7"/>
  <c r="G22" i="7" s="1"/>
  <c r="D22" i="7" s="1"/>
  <c r="E11" i="5"/>
  <c r="F11" i="5" s="1"/>
  <c r="G11" i="5" s="1"/>
  <c r="C21" i="11"/>
  <c r="D21" i="11"/>
  <c r="C11" i="3" l="1"/>
  <c r="D12" i="3" s="1"/>
  <c r="E12" i="3" s="1"/>
  <c r="F12" i="3" s="1"/>
  <c r="C22" i="7"/>
  <c r="E22" i="7"/>
  <c r="H22" i="7"/>
  <c r="F22" i="11"/>
  <c r="G22" i="11" s="1"/>
  <c r="C11" i="5"/>
  <c r="N26" i="6"/>
  <c r="M38" i="6"/>
  <c r="M40" i="6" s="1"/>
  <c r="D11" i="5"/>
  <c r="O27" i="6" l="1"/>
  <c r="O38" i="6" s="1"/>
  <c r="O40" i="6" s="1"/>
  <c r="N38" i="6"/>
  <c r="N40" i="6" s="1"/>
  <c r="C12" i="3"/>
  <c r="E12" i="5"/>
  <c r="F12" i="5" s="1"/>
  <c r="G12" i="5" s="1"/>
  <c r="H22" i="11"/>
  <c r="E22" i="11"/>
  <c r="D22" i="11"/>
  <c r="C22" i="11"/>
  <c r="F23" i="7"/>
  <c r="G23" i="7" s="1"/>
  <c r="C23" i="7" s="1"/>
  <c r="F23" i="11" l="1"/>
  <c r="G23" i="11" s="1"/>
  <c r="C12" i="5"/>
  <c r="D12" i="5"/>
  <c r="E23" i="7"/>
  <c r="H23" i="7"/>
  <c r="D23" i="7"/>
  <c r="D13" i="3"/>
  <c r="E13" i="3" s="1"/>
  <c r="F13" i="3" s="1"/>
  <c r="H23" i="11" l="1"/>
  <c r="E23" i="11"/>
  <c r="C23" i="11"/>
  <c r="F24" i="7"/>
  <c r="G24" i="7" s="1"/>
  <c r="C24" i="7" s="1"/>
  <c r="E13" i="5"/>
  <c r="F13" i="5" s="1"/>
  <c r="G13" i="5" s="1"/>
  <c r="C13" i="3"/>
  <c r="D23" i="11"/>
  <c r="C13" i="5" l="1"/>
  <c r="D13" i="5"/>
  <c r="E24" i="7"/>
  <c r="H24" i="7"/>
  <c r="F24" i="11"/>
  <c r="G24" i="11" s="1"/>
  <c r="D14" i="3"/>
  <c r="E14" i="3" s="1"/>
  <c r="F14" i="3" s="1"/>
  <c r="D24" i="7"/>
  <c r="E14" i="5" l="1"/>
  <c r="F14" i="5" s="1"/>
  <c r="G14" i="5" s="1"/>
  <c r="H24" i="11"/>
  <c r="E24" i="11"/>
  <c r="C24" i="11"/>
  <c r="D24" i="11"/>
  <c r="F25" i="7"/>
  <c r="G25" i="7" s="1"/>
  <c r="C25" i="7" s="1"/>
  <c r="C14" i="3"/>
  <c r="C14" i="5"/>
  <c r="D14" i="5" l="1"/>
  <c r="E25" i="7"/>
  <c r="H25" i="7"/>
  <c r="F25" i="11"/>
  <c r="G25" i="11" s="1"/>
  <c r="C25" i="11" s="1"/>
  <c r="E15" i="5"/>
  <c r="F15" i="5" s="1"/>
  <c r="G15" i="5" s="1"/>
  <c r="D25" i="7"/>
  <c r="D15" i="3"/>
  <c r="E15" i="3" s="1"/>
  <c r="F15" i="3" s="1"/>
  <c r="C15" i="3" l="1"/>
  <c r="D25" i="11"/>
  <c r="D15" i="5"/>
  <c r="D16" i="3"/>
  <c r="E16" i="3" s="1"/>
  <c r="F16" i="3" s="1"/>
  <c r="C15" i="5"/>
  <c r="F26" i="11"/>
  <c r="G26" i="11" s="1"/>
  <c r="D26" i="11" s="1"/>
  <c r="F26" i="7"/>
  <c r="G26" i="7" s="1"/>
  <c r="E25" i="11"/>
  <c r="H25" i="11"/>
  <c r="C16" i="3" l="1"/>
  <c r="C26" i="11"/>
  <c r="F27" i="11" s="1"/>
  <c r="G27" i="11" s="1"/>
  <c r="E16" i="5"/>
  <c r="F16" i="5" s="1"/>
  <c r="E26" i="7"/>
  <c r="H26" i="7"/>
  <c r="D17" i="3"/>
  <c r="E17" i="3" s="1"/>
  <c r="F17" i="3" s="1"/>
  <c r="D26" i="7"/>
  <c r="C26" i="7"/>
  <c r="H26" i="11"/>
  <c r="E26" i="11"/>
  <c r="C17" i="3" l="1"/>
  <c r="F27" i="7"/>
  <c r="G27" i="7" s="1"/>
  <c r="D27" i="7" s="1"/>
  <c r="H27" i="11"/>
  <c r="E27" i="11"/>
  <c r="G16" i="5"/>
  <c r="D16" i="5"/>
  <c r="C27" i="11"/>
  <c r="D18" i="3"/>
  <c r="E18" i="3" s="1"/>
  <c r="F18" i="3" s="1"/>
  <c r="C16" i="5"/>
  <c r="D27" i="11"/>
  <c r="C18" i="3" l="1"/>
  <c r="D19" i="3" s="1"/>
  <c r="E19" i="3" s="1"/>
  <c r="F19" i="3" s="1"/>
  <c r="E27" i="7"/>
  <c r="H27" i="7"/>
  <c r="E17" i="5"/>
  <c r="F17" i="5" s="1"/>
  <c r="G17" i="5" s="1"/>
  <c r="F28" i="11"/>
  <c r="G28" i="11" s="1"/>
  <c r="D28" i="11" s="1"/>
  <c r="C27" i="7"/>
  <c r="D17" i="5" l="1"/>
  <c r="H28" i="11"/>
  <c r="E28" i="11"/>
  <c r="C28" i="11"/>
  <c r="C19" i="3"/>
  <c r="F28" i="7"/>
  <c r="G28" i="7" s="1"/>
  <c r="C17" i="5"/>
  <c r="E28" i="7" l="1"/>
  <c r="H28" i="7"/>
  <c r="D28" i="7"/>
  <c r="D20" i="3"/>
  <c r="E20" i="3" s="1"/>
  <c r="F20" i="3" s="1"/>
  <c r="E18" i="5"/>
  <c r="F18" i="5" s="1"/>
  <c r="G18" i="5" s="1"/>
  <c r="F29" i="11"/>
  <c r="G29" i="11" s="1"/>
  <c r="C28" i="7"/>
  <c r="C18" i="5" l="1"/>
  <c r="F29" i="7"/>
  <c r="G29" i="7" s="1"/>
  <c r="D29" i="7" s="1"/>
  <c r="H29" i="11"/>
  <c r="E29" i="11"/>
  <c r="D29" i="11"/>
  <c r="D18" i="5"/>
  <c r="C29" i="11"/>
  <c r="C20" i="3"/>
  <c r="C29" i="7" l="1"/>
  <c r="F30" i="7" s="1"/>
  <c r="G30" i="7" s="1"/>
  <c r="C30" i="7" s="1"/>
  <c r="E19" i="5"/>
  <c r="F19" i="5" s="1"/>
  <c r="G19" i="5" s="1"/>
  <c r="D21" i="3"/>
  <c r="E21" i="3" s="1"/>
  <c r="F21" i="3" s="1"/>
  <c r="D19" i="5"/>
  <c r="F30" i="11"/>
  <c r="G30" i="11" s="1"/>
  <c r="D30" i="11" s="1"/>
  <c r="H29" i="7"/>
  <c r="E29" i="7"/>
  <c r="C30" i="11" l="1"/>
  <c r="C19" i="5"/>
  <c r="E20" i="5" s="1"/>
  <c r="F20" i="5" s="1"/>
  <c r="D20" i="5" s="1"/>
  <c r="F31" i="11"/>
  <c r="G31" i="11" s="1"/>
  <c r="C31" i="11" s="1"/>
  <c r="C21" i="3"/>
  <c r="H30" i="7"/>
  <c r="E30" i="7"/>
  <c r="H30" i="11"/>
  <c r="E30" i="11"/>
  <c r="D30" i="7"/>
  <c r="F31" i="7" s="1"/>
  <c r="G31" i="7" s="1"/>
  <c r="H31" i="7" l="1"/>
  <c r="E31" i="7"/>
  <c r="D22" i="3"/>
  <c r="E22" i="3" s="1"/>
  <c r="F22" i="3" s="1"/>
  <c r="C31" i="7"/>
  <c r="D31" i="7"/>
  <c r="G20" i="5"/>
  <c r="C20" i="5"/>
  <c r="H31" i="11"/>
  <c r="E31" i="11"/>
  <c r="D31" i="11"/>
  <c r="C22" i="3" l="1"/>
  <c r="F32" i="7"/>
  <c r="G32" i="7" s="1"/>
  <c r="D32" i="7" s="1"/>
  <c r="F32" i="11"/>
  <c r="G32" i="11" s="1"/>
  <c r="C32" i="11" s="1"/>
  <c r="D23" i="3"/>
  <c r="E23" i="3" s="1"/>
  <c r="F23" i="3" s="1"/>
  <c r="E21" i="5"/>
  <c r="F21" i="5" s="1"/>
  <c r="C21" i="5" s="1"/>
  <c r="H32" i="11" l="1"/>
  <c r="E32" i="11"/>
  <c r="G21" i="5"/>
  <c r="D21" i="5"/>
  <c r="H32" i="7"/>
  <c r="E32" i="7"/>
  <c r="C32" i="7"/>
  <c r="C23" i="3"/>
  <c r="D32" i="11"/>
  <c r="F33" i="11" s="1"/>
  <c r="G33" i="11" s="1"/>
  <c r="H33" i="11" l="1"/>
  <c r="E33" i="11"/>
  <c r="C33" i="11"/>
  <c r="F33" i="7"/>
  <c r="G33" i="7" s="1"/>
  <c r="C33" i="7" s="1"/>
  <c r="C22" i="5"/>
  <c r="D33" i="11"/>
  <c r="D24" i="3"/>
  <c r="E24" i="3" s="1"/>
  <c r="F24" i="3" s="1"/>
  <c r="E22" i="5"/>
  <c r="F22" i="5" s="1"/>
  <c r="G22" i="5" s="1"/>
  <c r="C24" i="3" l="1"/>
  <c r="D22" i="5"/>
  <c r="E23" i="5" s="1"/>
  <c r="F23" i="5" s="1"/>
  <c r="G23" i="5" s="1"/>
  <c r="D25" i="3"/>
  <c r="E25" i="3" s="1"/>
  <c r="F25" i="3" s="1"/>
  <c r="C25" i="3"/>
  <c r="F34" i="11"/>
  <c r="G34" i="11" s="1"/>
  <c r="C34" i="11" s="1"/>
  <c r="H33" i="7"/>
  <c r="E33" i="7"/>
  <c r="D33" i="7"/>
  <c r="D23" i="5" l="1"/>
  <c r="D34" i="11"/>
  <c r="F35" i="11" s="1"/>
  <c r="G35" i="11" s="1"/>
  <c r="D26" i="3"/>
  <c r="E26" i="3" s="1"/>
  <c r="F26" i="3" s="1"/>
  <c r="C23" i="5"/>
  <c r="F34" i="7"/>
  <c r="G34" i="7" s="1"/>
  <c r="D34" i="7" s="1"/>
  <c r="H34" i="11"/>
  <c r="E34" i="11"/>
  <c r="C26" i="3" l="1"/>
  <c r="H35" i="11"/>
  <c r="E35" i="11"/>
  <c r="D35" i="11"/>
  <c r="D27" i="3"/>
  <c r="E27" i="3" s="1"/>
  <c r="F27" i="3" s="1"/>
  <c r="H34" i="7"/>
  <c r="E34" i="7"/>
  <c r="C34" i="7"/>
  <c r="E24" i="5"/>
  <c r="F24" i="5" s="1"/>
  <c r="C24" i="5" s="1"/>
  <c r="C35" i="11"/>
  <c r="G24" i="5" l="1"/>
  <c r="D24" i="5"/>
  <c r="E25" i="5" s="1"/>
  <c r="F25" i="5" s="1"/>
  <c r="G25" i="5" s="1"/>
  <c r="F36" i="11"/>
  <c r="G36" i="11" s="1"/>
  <c r="D36" i="11" s="1"/>
  <c r="F35" i="7"/>
  <c r="G35" i="7" s="1"/>
  <c r="C35" i="7" s="1"/>
  <c r="C27" i="3"/>
  <c r="C36" i="11" l="1"/>
  <c r="F37" i="11" s="1"/>
  <c r="G37" i="11" s="1"/>
  <c r="D25" i="5"/>
  <c r="D28" i="3"/>
  <c r="E28" i="3" s="1"/>
  <c r="F28" i="3" s="1"/>
  <c r="H35" i="7"/>
  <c r="E35" i="7"/>
  <c r="D35" i="7"/>
  <c r="C25" i="5"/>
  <c r="H36" i="11"/>
  <c r="E36" i="11"/>
  <c r="C28" i="3" l="1"/>
  <c r="H37" i="11"/>
  <c r="E37" i="11"/>
  <c r="C37" i="11"/>
  <c r="E26" i="5"/>
  <c r="F26" i="5" s="1"/>
  <c r="G26" i="5" s="1"/>
  <c r="D37" i="11"/>
  <c r="D29" i="3"/>
  <c r="E29" i="3" s="1"/>
  <c r="F29" i="3" s="1"/>
  <c r="F36" i="7"/>
  <c r="G36" i="7" s="1"/>
  <c r="D36" i="7" s="1"/>
  <c r="C26" i="5" l="1"/>
  <c r="D26" i="5"/>
  <c r="F38" i="11"/>
  <c r="G38" i="11" s="1"/>
  <c r="D38" i="11" s="1"/>
  <c r="C29" i="3"/>
  <c r="H36" i="7"/>
  <c r="E36" i="7"/>
  <c r="C36" i="7"/>
  <c r="E27" i="5" l="1"/>
  <c r="F27" i="5" s="1"/>
  <c r="G27" i="5" s="1"/>
  <c r="H38" i="11"/>
  <c r="E38" i="11"/>
  <c r="F37" i="7"/>
  <c r="G37" i="7" s="1"/>
  <c r="C37" i="7" s="1"/>
  <c r="D27" i="5"/>
  <c r="C38" i="11"/>
  <c r="D30" i="3"/>
  <c r="E30" i="3" s="1"/>
  <c r="F30" i="3" s="1"/>
  <c r="C27" i="5" l="1"/>
  <c r="E28" i="5" s="1"/>
  <c r="F28" i="5" s="1"/>
  <c r="G28" i="5" s="1"/>
  <c r="C30" i="3"/>
  <c r="F39" i="11"/>
  <c r="G39" i="11" s="1"/>
  <c r="C39" i="11" s="1"/>
  <c r="H37" i="7"/>
  <c r="E37" i="7"/>
  <c r="D37" i="7"/>
  <c r="D28" i="5" l="1"/>
  <c r="C28" i="5"/>
  <c r="F38" i="7"/>
  <c r="G38" i="7" s="1"/>
  <c r="D38" i="7" s="1"/>
  <c r="D31" i="3"/>
  <c r="E31" i="3" s="1"/>
  <c r="F31" i="3" s="1"/>
  <c r="H39" i="11"/>
  <c r="E39" i="11"/>
  <c r="D39" i="11"/>
  <c r="E29" i="5" l="1"/>
  <c r="F29" i="5" s="1"/>
  <c r="G29" i="5" s="1"/>
  <c r="C31" i="3"/>
  <c r="D29" i="5"/>
  <c r="C29" i="5"/>
  <c r="H38" i="7"/>
  <c r="E38" i="7"/>
  <c r="C38" i="7"/>
  <c r="D32" i="3"/>
  <c r="E32" i="3" s="1"/>
  <c r="F32" i="3" s="1"/>
  <c r="F40" i="11"/>
  <c r="G40" i="11" s="1"/>
  <c r="D40" i="11" s="1"/>
  <c r="E30" i="5" l="1"/>
  <c r="F30" i="5" s="1"/>
  <c r="G30" i="5" s="1"/>
  <c r="D30" i="5"/>
  <c r="F39" i="7"/>
  <c r="G39" i="7" s="1"/>
  <c r="H40" i="11"/>
  <c r="E40" i="11"/>
  <c r="C32" i="3"/>
  <c r="C40" i="11"/>
  <c r="C30" i="5" l="1"/>
  <c r="E31" i="5" s="1"/>
  <c r="F31" i="5" s="1"/>
  <c r="F41" i="11"/>
  <c r="G41" i="11" s="1"/>
  <c r="H39" i="7"/>
  <c r="E39" i="7"/>
  <c r="D39" i="7"/>
  <c r="D33" i="3"/>
  <c r="E33" i="3" s="1"/>
  <c r="F33" i="3" s="1"/>
  <c r="C39" i="7"/>
  <c r="G31" i="5" l="1"/>
  <c r="D31" i="5"/>
  <c r="C31" i="5"/>
  <c r="C33" i="3"/>
  <c r="D34" i="3"/>
  <c r="E34" i="3" s="1"/>
  <c r="F34" i="3" s="1"/>
  <c r="E32" i="5"/>
  <c r="F32" i="5" s="1"/>
  <c r="G32" i="5" s="1"/>
  <c r="H41" i="11"/>
  <c r="E41" i="11"/>
  <c r="D41" i="11"/>
  <c r="F40" i="7"/>
  <c r="G40" i="7" s="1"/>
  <c r="C40" i="7" s="1"/>
  <c r="C41" i="11"/>
  <c r="D32" i="5" l="1"/>
  <c r="H40" i="7"/>
  <c r="E40" i="7"/>
  <c r="D40" i="7"/>
  <c r="C34" i="3"/>
  <c r="F42" i="11"/>
  <c r="G42" i="11" s="1"/>
  <c r="C42" i="11" s="1"/>
  <c r="C32" i="5"/>
  <c r="D42" i="11" l="1"/>
  <c r="D35" i="3"/>
  <c r="E35" i="3" s="1"/>
  <c r="F35" i="3" s="1"/>
  <c r="C35" i="3"/>
  <c r="E33" i="5"/>
  <c r="F33" i="5" s="1"/>
  <c r="G33" i="5" s="1"/>
  <c r="F43" i="11"/>
  <c r="G43" i="11" s="1"/>
  <c r="H42" i="11"/>
  <c r="E42" i="11"/>
  <c r="F41" i="7"/>
  <c r="G41" i="7" s="1"/>
  <c r="C33" i="5" l="1"/>
  <c r="D33" i="5"/>
  <c r="H43" i="11"/>
  <c r="E43" i="11"/>
  <c r="D36" i="3"/>
  <c r="E36" i="3" s="1"/>
  <c r="F36" i="3" s="1"/>
  <c r="C43" i="11"/>
  <c r="H41" i="7"/>
  <c r="E41" i="7"/>
  <c r="D41" i="7"/>
  <c r="D43" i="11"/>
  <c r="C41" i="7"/>
  <c r="E34" i="5" l="1"/>
  <c r="F34" i="5" s="1"/>
  <c r="G34" i="5" s="1"/>
  <c r="F44" i="11"/>
  <c r="G44" i="11" s="1"/>
  <c r="F42" i="7"/>
  <c r="G42" i="7" s="1"/>
  <c r="C42" i="7" s="1"/>
  <c r="C36" i="3"/>
  <c r="D34" i="5" l="1"/>
  <c r="C34" i="5"/>
  <c r="E35" i="5" s="1"/>
  <c r="F35" i="5" s="1"/>
  <c r="H42" i="7"/>
  <c r="E42" i="7"/>
  <c r="H44" i="11"/>
  <c r="E44" i="11"/>
  <c r="D37" i="3"/>
  <c r="E37" i="3" s="1"/>
  <c r="F37" i="3" s="1"/>
  <c r="D44" i="11"/>
  <c r="C44" i="11"/>
  <c r="D42" i="7"/>
  <c r="F43" i="7" s="1"/>
  <c r="G43" i="7" s="1"/>
  <c r="C37" i="3" l="1"/>
  <c r="D38" i="3" s="1"/>
  <c r="E38" i="3" s="1"/>
  <c r="F38" i="3" s="1"/>
  <c r="G35" i="5"/>
  <c r="C35" i="5"/>
  <c r="F45" i="11"/>
  <c r="G45" i="11" s="1"/>
  <c r="D45" i="11" s="1"/>
  <c r="D35" i="5"/>
  <c r="H43" i="7"/>
  <c r="E43" i="7"/>
  <c r="D43" i="7"/>
  <c r="C43" i="7"/>
  <c r="C45" i="11" l="1"/>
  <c r="E36" i="5"/>
  <c r="F36" i="5" s="1"/>
  <c r="G36" i="5" s="1"/>
  <c r="F46" i="11"/>
  <c r="G46" i="11" s="1"/>
  <c r="C46" i="11" s="1"/>
  <c r="F44" i="7"/>
  <c r="G44" i="7" s="1"/>
  <c r="C38" i="3"/>
  <c r="H45" i="11"/>
  <c r="E45" i="11"/>
  <c r="C36" i="5" l="1"/>
  <c r="H44" i="7"/>
  <c r="E44" i="7"/>
  <c r="D39" i="3"/>
  <c r="E39" i="3" s="1"/>
  <c r="F39" i="3" s="1"/>
  <c r="D36" i="5"/>
  <c r="H46" i="11"/>
  <c r="E46" i="11"/>
  <c r="C44" i="7"/>
  <c r="D46" i="11"/>
  <c r="D44" i="7"/>
  <c r="C39" i="3" l="1"/>
  <c r="D40" i="3" s="1"/>
  <c r="E40" i="3" s="1"/>
  <c r="F40" i="3" s="1"/>
  <c r="E37" i="5"/>
  <c r="F37" i="5" s="1"/>
  <c r="G37" i="5" s="1"/>
  <c r="F47" i="11"/>
  <c r="G47" i="11" s="1"/>
  <c r="D47" i="11" s="1"/>
  <c r="F45" i="7"/>
  <c r="G45" i="7" s="1"/>
  <c r="C45" i="7" s="1"/>
  <c r="D37" i="5"/>
  <c r="C47" i="11"/>
  <c r="C37" i="5" l="1"/>
  <c r="F48" i="11"/>
  <c r="G48" i="11" s="1"/>
  <c r="C48" i="11" s="1"/>
  <c r="C40" i="3"/>
  <c r="H47" i="11"/>
  <c r="E47" i="11"/>
  <c r="H45" i="7"/>
  <c r="E45" i="7"/>
  <c r="D45" i="7"/>
  <c r="F46" i="7" s="1"/>
  <c r="G46" i="7" s="1"/>
  <c r="E38" i="5"/>
  <c r="F38" i="5" s="1"/>
  <c r="G38" i="5" s="1"/>
  <c r="C38" i="5" l="1"/>
  <c r="D41" i="3"/>
  <c r="E41" i="3" s="1"/>
  <c r="F41" i="3" s="1"/>
  <c r="E2" i="3" s="1"/>
  <c r="F2" i="3" s="1"/>
  <c r="H48" i="11"/>
  <c r="E48" i="11"/>
  <c r="H46" i="7"/>
  <c r="E46" i="7"/>
  <c r="C46" i="7"/>
  <c r="D46" i="7"/>
  <c r="D38" i="5"/>
  <c r="D48" i="11"/>
  <c r="F49" i="11" l="1"/>
  <c r="G49" i="11" s="1"/>
  <c r="F47" i="7"/>
  <c r="G47" i="7" s="1"/>
  <c r="D47" i="7" s="1"/>
  <c r="C41" i="3"/>
  <c r="C49" i="11"/>
  <c r="E39" i="5"/>
  <c r="F39" i="5" s="1"/>
  <c r="G39" i="5" s="1"/>
  <c r="D39" i="5" l="1"/>
  <c r="C47" i="7"/>
  <c r="H49" i="11"/>
  <c r="E49" i="11"/>
  <c r="H47" i="7"/>
  <c r="E47" i="7"/>
  <c r="C39" i="5"/>
  <c r="B43" i="3"/>
  <c r="B47" i="3"/>
  <c r="B45" i="3"/>
  <c r="B50" i="3"/>
  <c r="B42" i="3"/>
  <c r="B46" i="3"/>
  <c r="B51" i="3"/>
  <c r="B48" i="3"/>
  <c r="B52" i="3"/>
  <c r="B44" i="3"/>
  <c r="B49" i="3"/>
  <c r="B53" i="3"/>
  <c r="D49" i="11"/>
  <c r="E40" i="5" l="1"/>
  <c r="F40" i="5" s="1"/>
  <c r="G40" i="5" s="1"/>
  <c r="F50" i="11"/>
  <c r="G50" i="11" s="1"/>
  <c r="F48" i="7"/>
  <c r="G48" i="7" s="1"/>
  <c r="C48" i="7" s="1"/>
  <c r="D40" i="5" l="1"/>
  <c r="H50" i="11"/>
  <c r="E50" i="11"/>
  <c r="D50" i="11"/>
  <c r="H48" i="7"/>
  <c r="E48" i="7"/>
  <c r="D48" i="7"/>
  <c r="F49" i="7" s="1"/>
  <c r="G49" i="7" s="1"/>
  <c r="C40" i="5"/>
  <c r="C50" i="11"/>
  <c r="H49" i="7" l="1"/>
  <c r="E49" i="7"/>
  <c r="D49" i="7"/>
  <c r="F51" i="11"/>
  <c r="G51" i="11" s="1"/>
  <c r="C49" i="7"/>
  <c r="E41" i="5"/>
  <c r="F41" i="5" s="1"/>
  <c r="G41" i="5" s="1"/>
  <c r="F2" i="5" s="1"/>
  <c r="G2" i="5" s="1"/>
  <c r="D41" i="5" l="1"/>
  <c r="C41" i="5"/>
  <c r="F50" i="7"/>
  <c r="G50" i="7" s="1"/>
  <c r="C50" i="7" s="1"/>
  <c r="H51" i="11"/>
  <c r="E51" i="11"/>
  <c r="C51" i="11"/>
  <c r="D51" i="11"/>
  <c r="B45" i="5" l="1"/>
  <c r="B42" i="5"/>
  <c r="B43" i="5"/>
  <c r="B44" i="5"/>
  <c r="B51" i="5"/>
  <c r="B47" i="5"/>
  <c r="B46" i="5"/>
  <c r="B53" i="5"/>
  <c r="B50" i="5"/>
  <c r="B48" i="5"/>
  <c r="B52" i="5"/>
  <c r="B49" i="5"/>
  <c r="H50" i="7"/>
  <c r="E50" i="7"/>
  <c r="F52" i="11"/>
  <c r="G52" i="11" s="1"/>
  <c r="C52" i="11" s="1"/>
  <c r="D50" i="7"/>
  <c r="F51" i="7" s="1"/>
  <c r="G51" i="7" s="1"/>
  <c r="H51" i="7" l="1"/>
  <c r="E51" i="7"/>
  <c r="C51" i="7"/>
  <c r="D51" i="7"/>
  <c r="H52" i="11"/>
  <c r="G2" i="11" s="1"/>
  <c r="H2" i="11" s="1"/>
  <c r="E52" i="11"/>
  <c r="D52" i="11"/>
  <c r="F52" i="7" l="1"/>
  <c r="G52" i="7" s="1"/>
  <c r="C52" i="7" s="1"/>
  <c r="G56" i="11"/>
  <c r="G60" i="11"/>
  <c r="G64" i="11"/>
  <c r="G61" i="11"/>
  <c r="G62" i="11"/>
  <c r="G63" i="11"/>
  <c r="G54" i="11"/>
  <c r="G57" i="11"/>
  <c r="G59" i="11"/>
  <c r="G53" i="11"/>
  <c r="E53" i="11" s="1"/>
  <c r="G55" i="11"/>
  <c r="G58" i="11"/>
  <c r="D52" i="7"/>
  <c r="F53" i="11"/>
  <c r="B57" i="7" l="1"/>
  <c r="B61" i="7"/>
  <c r="B53" i="7"/>
  <c r="B58" i="7"/>
  <c r="B63" i="7"/>
  <c r="B54" i="7"/>
  <c r="B59" i="7"/>
  <c r="B55" i="7"/>
  <c r="B60" i="7"/>
  <c r="B56" i="7"/>
  <c r="B62" i="7"/>
  <c r="D53" i="1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B53" i="11"/>
  <c r="H52" i="7"/>
  <c r="G2" i="7" s="1"/>
  <c r="H2" i="7" s="1"/>
  <c r="E52" i="7"/>
  <c r="B64" i="7" s="1"/>
  <c r="C53" i="11"/>
  <c r="C54" i="11" l="1"/>
  <c r="F54" i="11"/>
  <c r="B54" i="11" s="1"/>
  <c r="E54" i="11"/>
  <c r="C55" i="11" l="1"/>
  <c r="F55" i="11"/>
  <c r="B55" i="11" s="1"/>
  <c r="E55" i="11"/>
  <c r="C56" i="11" l="1"/>
  <c r="F56" i="11"/>
  <c r="B56" i="11" s="1"/>
  <c r="E56" i="11"/>
  <c r="C57" i="11" l="1"/>
  <c r="F57" i="11"/>
  <c r="B57" i="11" s="1"/>
  <c r="E57" i="11"/>
  <c r="C58" i="11" l="1"/>
  <c r="F58" i="11"/>
  <c r="B58" i="11" s="1"/>
  <c r="E58" i="11"/>
  <c r="C59" i="11" l="1"/>
  <c r="F59" i="11"/>
  <c r="B59" i="11" s="1"/>
  <c r="E59" i="11"/>
  <c r="C60" i="11" l="1"/>
  <c r="F60" i="11"/>
  <c r="B60" i="11" s="1"/>
  <c r="E60" i="11"/>
  <c r="C61" i="11" l="1"/>
  <c r="F61" i="11"/>
  <c r="B61" i="11" s="1"/>
  <c r="E61" i="11"/>
  <c r="C62" i="11" l="1"/>
  <c r="F62" i="11"/>
  <c r="B62" i="11" s="1"/>
  <c r="E62" i="11"/>
  <c r="C63" i="11" l="1"/>
  <c r="F63" i="11"/>
  <c r="B63" i="11" s="1"/>
  <c r="E63" i="11"/>
  <c r="C64" i="11" l="1"/>
  <c r="F64" i="11"/>
  <c r="B64" i="11" s="1"/>
  <c r="E64" i="11"/>
</calcChain>
</file>

<file path=xl/sharedStrings.xml><?xml version="1.0" encoding="utf-8"?>
<sst xmlns="http://schemas.openxmlformats.org/spreadsheetml/2006/main" count="77" uniqueCount="34">
  <si>
    <t>Demand</t>
  </si>
  <si>
    <t>t</t>
  </si>
  <si>
    <t>Total Months</t>
  </si>
  <si>
    <t>Actual Demand</t>
  </si>
  <si>
    <t>Level Estimate</t>
  </si>
  <si>
    <t>One-step Forecast</t>
  </si>
  <si>
    <t>Forecast Error</t>
  </si>
  <si>
    <t>Squared Error</t>
  </si>
  <si>
    <t>SSE</t>
  </si>
  <si>
    <t>Standard Error</t>
  </si>
  <si>
    <t>Deviations from mean</t>
  </si>
  <si>
    <t>Autocorrelation</t>
  </si>
  <si>
    <t>Level</t>
  </si>
  <si>
    <t>Growth Rate</t>
  </si>
  <si>
    <t>Total months</t>
  </si>
  <si>
    <t>Level smoothing parameter (alpha)</t>
  </si>
  <si>
    <t>Trend smoothing parameter (gamma)</t>
  </si>
  <si>
    <t>Seasonal Adjustment</t>
  </si>
  <si>
    <t>Seasonal smoothing parameter (delta)</t>
  </si>
  <si>
    <t>Simulated Demand</t>
  </si>
  <si>
    <t>Smoothed</t>
  </si>
  <si>
    <t>Seasonal Factor Estimate</t>
  </si>
  <si>
    <t>Initial Seasonal Factors</t>
  </si>
  <si>
    <t>Deseasonalized Data</t>
  </si>
  <si>
    <t>% Skew</t>
  </si>
  <si>
    <t>One-step error</t>
  </si>
  <si>
    <t>Upper cutoff</t>
  </si>
  <si>
    <t>Lower cutoff</t>
  </si>
  <si>
    <t>Trend</t>
  </si>
  <si>
    <t>Initial Seasonal Factors x3</t>
  </si>
  <si>
    <t>Slope</t>
  </si>
  <si>
    <t>Degrees of Freedom</t>
  </si>
  <si>
    <t>t Test p value</t>
  </si>
  <si>
    <t>Slope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</si>
</sst>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E+00;\_x0000_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rgb="FFFF66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2" borderId="0" xfId="0" applyFill="1" applyAlignment="1">
      <alignment wrapText="1"/>
    </xf>
    <xf numFmtId="0" fontId="0" fillId="3" borderId="0" xfId="0" applyFill="1"/>
    <xf numFmtId="0" fontId="4" fillId="3" borderId="0" xfId="0" applyFont="1" applyFill="1"/>
    <xf numFmtId="0" fontId="0" fillId="3" borderId="0" xfId="0" applyFill="1" applyAlignment="1">
      <alignment wrapText="1"/>
    </xf>
    <xf numFmtId="164" fontId="0" fillId="3" borderId="0" xfId="0" applyNumberFormat="1" applyFill="1" applyBorder="1"/>
    <xf numFmtId="9" fontId="0" fillId="0" borderId="0" xfId="2169" applyFont="1"/>
    <xf numFmtId="2" fontId="4" fillId="3" borderId="0" xfId="0" applyNumberFormat="1" applyFont="1" applyFill="1"/>
    <xf numFmtId="0" fontId="0" fillId="0" borderId="0" xfId="0" applyFill="1"/>
    <xf numFmtId="0" fontId="0" fillId="4" borderId="0" xfId="0" applyFill="1"/>
    <xf numFmtId="0" fontId="0" fillId="0" borderId="1" xfId="0" applyBorder="1"/>
    <xf numFmtId="2" fontId="0" fillId="0" borderId="0" xfId="0" applyNumberFormat="1" applyFill="1"/>
    <xf numFmtId="0" fontId="0" fillId="0" borderId="0" xfId="0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wrapText="1"/>
    </xf>
    <xf numFmtId="2" fontId="7" fillId="0" borderId="0" xfId="0" applyNumberFormat="1" applyFont="1"/>
    <xf numFmtId="0" fontId="7" fillId="3" borderId="0" xfId="0" applyFont="1" applyFill="1"/>
    <xf numFmtId="0" fontId="7" fillId="0" borderId="0" xfId="0" applyFont="1" applyFill="1"/>
    <xf numFmtId="1" fontId="8" fillId="3" borderId="0" xfId="0" applyNumberFormat="1" applyFont="1" applyFill="1"/>
    <xf numFmtId="2" fontId="0" fillId="0" borderId="0" xfId="0" applyNumberFormat="1" applyBorder="1"/>
    <xf numFmtId="165" fontId="0" fillId="0" borderId="0" xfId="0" applyNumberFormat="1" applyBorder="1"/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0" fillId="0" borderId="3" xfId="0" applyBorder="1" applyAlignment="1">
      <alignment vertical="center"/>
    </xf>
  </cellXfs>
  <cellStyles count="4364">
    <cellStyle name="Gevolgde hyperlink" xfId="2" builtinId="9" hidden="1"/>
    <cellStyle name="Gevolgde hyperlink" xfId="4" builtinId="9" hidden="1"/>
    <cellStyle name="Gevolgde hyperlink" xfId="6" builtinId="9" hidden="1"/>
    <cellStyle name="Gevolgde hyperlink" xfId="8" builtinId="9" hidden="1"/>
    <cellStyle name="Gevolgde hyperlink" xfId="10" builtinId="9" hidden="1"/>
    <cellStyle name="Gevolgde hyperlink" xfId="12" builtinId="9" hidden="1"/>
    <cellStyle name="Gevolgde hyperlink" xfId="14" builtinId="9" hidden="1"/>
    <cellStyle name="Gevolgde hyperlink" xfId="16" builtinId="9" hidden="1"/>
    <cellStyle name="Gevolgde hyperlink" xfId="18" builtinId="9" hidden="1"/>
    <cellStyle name="Gevolgde hyperlink" xfId="20" builtinId="9" hidden="1"/>
    <cellStyle name="Gevolgde hyperlink" xfId="22" builtinId="9" hidden="1"/>
    <cellStyle name="Gevolgde hyperlink" xfId="24" builtinId="9" hidden="1"/>
    <cellStyle name="Gevolgde hyperlink" xfId="26" builtinId="9" hidden="1"/>
    <cellStyle name="Gevolgde hyperlink" xfId="28" builtinId="9" hidden="1"/>
    <cellStyle name="Gevolgde hyperlink" xfId="30" builtinId="9" hidden="1"/>
    <cellStyle name="Gevolgde hyperlink" xfId="32" builtinId="9" hidden="1"/>
    <cellStyle name="Gevolgde hyperlink" xfId="34" builtinId="9" hidden="1"/>
    <cellStyle name="Gevolgde hyperlink" xfId="36" builtinId="9" hidden="1"/>
    <cellStyle name="Gevolgde hyperlink" xfId="38" builtinId="9" hidden="1"/>
    <cellStyle name="Gevolgde hyperlink" xfId="40" builtinId="9" hidden="1"/>
    <cellStyle name="Gevolgde hyperlink" xfId="42" builtinId="9" hidden="1"/>
    <cellStyle name="Gevolgde hyperlink" xfId="44" builtinId="9" hidden="1"/>
    <cellStyle name="Gevolgde hyperlink" xfId="46" builtinId="9" hidden="1"/>
    <cellStyle name="Gevolgde hyperlink" xfId="48" builtinId="9" hidden="1"/>
    <cellStyle name="Gevolgde hyperlink" xfId="50" builtinId="9" hidden="1"/>
    <cellStyle name="Gevolgde hyperlink" xfId="52" builtinId="9" hidden="1"/>
    <cellStyle name="Gevolgde hyperlink" xfId="54" builtinId="9" hidden="1"/>
    <cellStyle name="Gevolgde hyperlink" xfId="56" builtinId="9" hidden="1"/>
    <cellStyle name="Gevolgde hyperlink" xfId="58" builtinId="9" hidden="1"/>
    <cellStyle name="Gevolgde hyperlink" xfId="60" builtinId="9" hidden="1"/>
    <cellStyle name="Gevolgde hyperlink" xfId="62" builtinId="9" hidden="1"/>
    <cellStyle name="Gevolgde hyperlink" xfId="64" builtinId="9" hidden="1"/>
    <cellStyle name="Gevolgde hyperlink" xfId="66" builtinId="9" hidden="1"/>
    <cellStyle name="Gevolgde hyperlink" xfId="68" builtinId="9" hidden="1"/>
    <cellStyle name="Gevolgde hyperlink" xfId="70" builtinId="9" hidden="1"/>
    <cellStyle name="Gevolgde hyperlink" xfId="72" builtinId="9" hidden="1"/>
    <cellStyle name="Gevolgde hyperlink" xfId="74" builtinId="9" hidden="1"/>
    <cellStyle name="Gevolgde hyperlink" xfId="76" builtinId="9" hidden="1"/>
    <cellStyle name="Gevolgde hyperlink" xfId="78" builtinId="9" hidden="1"/>
    <cellStyle name="Gevolgde hyperlink" xfId="80" builtinId="9" hidden="1"/>
    <cellStyle name="Gevolgde hyperlink" xfId="82" builtinId="9" hidden="1"/>
    <cellStyle name="Gevolgde hyperlink" xfId="84" builtinId="9" hidden="1"/>
    <cellStyle name="Gevolgde hyperlink" xfId="86" builtinId="9" hidden="1"/>
    <cellStyle name="Gevolgde hyperlink" xfId="88" builtinId="9" hidden="1"/>
    <cellStyle name="Gevolgde hyperlink" xfId="90" builtinId="9" hidden="1"/>
    <cellStyle name="Gevolgde hyperlink" xfId="92" builtinId="9" hidden="1"/>
    <cellStyle name="Gevolgde hyperlink" xfId="94" builtinId="9" hidden="1"/>
    <cellStyle name="Gevolgde hyperlink" xfId="96" builtinId="9" hidden="1"/>
    <cellStyle name="Gevolgde hyperlink" xfId="98" builtinId="9" hidden="1"/>
    <cellStyle name="Gevolgde hyperlink" xfId="100" builtinId="9" hidden="1"/>
    <cellStyle name="Gevolgde hyperlink" xfId="102" builtinId="9" hidden="1"/>
    <cellStyle name="Gevolgde hyperlink" xfId="104" builtinId="9" hidden="1"/>
    <cellStyle name="Gevolgde hyperlink" xfId="106" builtinId="9" hidden="1"/>
    <cellStyle name="Gevolgde hyperlink" xfId="108" builtinId="9" hidden="1"/>
    <cellStyle name="Gevolgde hyperlink" xfId="110" builtinId="9" hidden="1"/>
    <cellStyle name="Gevolgde hyperlink" xfId="112" builtinId="9" hidden="1"/>
    <cellStyle name="Gevolgde hyperlink" xfId="114" builtinId="9" hidden="1"/>
    <cellStyle name="Gevolgde hyperlink" xfId="116" builtinId="9" hidden="1"/>
    <cellStyle name="Gevolgde hyperlink" xfId="118" builtinId="9" hidden="1"/>
    <cellStyle name="Gevolgde hyperlink" xfId="120" builtinId="9" hidden="1"/>
    <cellStyle name="Gevolgde hyperlink" xfId="122" builtinId="9" hidden="1"/>
    <cellStyle name="Gevolgde hyperlink" xfId="124" builtinId="9" hidden="1"/>
    <cellStyle name="Gevolgde hyperlink" xfId="126" builtinId="9" hidden="1"/>
    <cellStyle name="Gevolgde hyperlink" xfId="128" builtinId="9" hidden="1"/>
    <cellStyle name="Gevolgde hyperlink" xfId="130" builtinId="9" hidden="1"/>
    <cellStyle name="Gevolgde hyperlink" xfId="132" builtinId="9" hidden="1"/>
    <cellStyle name="Gevolgde hyperlink" xfId="134" builtinId="9" hidden="1"/>
    <cellStyle name="Gevolgde hyperlink" xfId="136" builtinId="9" hidden="1"/>
    <cellStyle name="Gevolgde hyperlink" xfId="138" builtinId="9" hidden="1"/>
    <cellStyle name="Gevolgde hyperlink" xfId="140" builtinId="9" hidden="1"/>
    <cellStyle name="Gevolgde hyperlink" xfId="142" builtinId="9" hidden="1"/>
    <cellStyle name="Gevolgde hyperlink" xfId="144" builtinId="9" hidden="1"/>
    <cellStyle name="Gevolgde hyperlink" xfId="146" builtinId="9" hidden="1"/>
    <cellStyle name="Gevolgde hyperlink" xfId="148" builtinId="9" hidden="1"/>
    <cellStyle name="Gevolgde hyperlink" xfId="150" builtinId="9" hidden="1"/>
    <cellStyle name="Gevolgde hyperlink" xfId="152" builtinId="9" hidden="1"/>
    <cellStyle name="Gevolgde hyperlink" xfId="154" builtinId="9" hidden="1"/>
    <cellStyle name="Gevolgde hyperlink" xfId="156" builtinId="9" hidden="1"/>
    <cellStyle name="Gevolgde hyperlink" xfId="158" builtinId="9" hidden="1"/>
    <cellStyle name="Gevolgde hyperlink" xfId="160" builtinId="9" hidden="1"/>
    <cellStyle name="Gevolgde hyperlink" xfId="162" builtinId="9" hidden="1"/>
    <cellStyle name="Gevolgde hyperlink" xfId="164" builtinId="9" hidden="1"/>
    <cellStyle name="Gevolgde hyperlink" xfId="166" builtinId="9" hidden="1"/>
    <cellStyle name="Gevolgde hyperlink" xfId="168" builtinId="9" hidden="1"/>
    <cellStyle name="Gevolgde hyperlink" xfId="170" builtinId="9" hidden="1"/>
    <cellStyle name="Gevolgde hyperlink" xfId="172" builtinId="9" hidden="1"/>
    <cellStyle name="Gevolgde hyperlink" xfId="174" builtinId="9" hidden="1"/>
    <cellStyle name="Gevolgde hyperlink" xfId="176" builtinId="9" hidden="1"/>
    <cellStyle name="Gevolgde hyperlink" xfId="178" builtinId="9" hidden="1"/>
    <cellStyle name="Gevolgde hyperlink" xfId="180" builtinId="9" hidden="1"/>
    <cellStyle name="Gevolgde hyperlink" xfId="182" builtinId="9" hidden="1"/>
    <cellStyle name="Gevolgde hyperlink" xfId="184" builtinId="9" hidden="1"/>
    <cellStyle name="Gevolgde hyperlink" xfId="186" builtinId="9" hidden="1"/>
    <cellStyle name="Gevolgde hyperlink" xfId="188" builtinId="9" hidden="1"/>
    <cellStyle name="Gevolgde hyperlink" xfId="190" builtinId="9" hidden="1"/>
    <cellStyle name="Gevolgde hyperlink" xfId="192" builtinId="9" hidden="1"/>
    <cellStyle name="Gevolgde hyperlink" xfId="194" builtinId="9" hidden="1"/>
    <cellStyle name="Gevolgde hyperlink" xfId="196" builtinId="9" hidden="1"/>
    <cellStyle name="Gevolgde hyperlink" xfId="198" builtinId="9" hidden="1"/>
    <cellStyle name="Gevolgde hyperlink" xfId="200" builtinId="9" hidden="1"/>
    <cellStyle name="Gevolgde hyperlink" xfId="202" builtinId="9" hidden="1"/>
    <cellStyle name="Gevolgde hyperlink" xfId="204" builtinId="9" hidden="1"/>
    <cellStyle name="Gevolgde hyperlink" xfId="206" builtinId="9" hidden="1"/>
    <cellStyle name="Gevolgde hyperlink" xfId="208" builtinId="9" hidden="1"/>
    <cellStyle name="Gevolgde hyperlink" xfId="210" builtinId="9" hidden="1"/>
    <cellStyle name="Gevolgde hyperlink" xfId="212" builtinId="9" hidden="1"/>
    <cellStyle name="Gevolgde hyperlink" xfId="214" builtinId="9" hidden="1"/>
    <cellStyle name="Gevolgde hyperlink" xfId="216" builtinId="9" hidden="1"/>
    <cellStyle name="Gevolgde hyperlink" xfId="218" builtinId="9" hidden="1"/>
    <cellStyle name="Gevolgde hyperlink" xfId="220" builtinId="9" hidden="1"/>
    <cellStyle name="Gevolgde hyperlink" xfId="222" builtinId="9" hidden="1"/>
    <cellStyle name="Gevolgde hyperlink" xfId="224" builtinId="9" hidden="1"/>
    <cellStyle name="Gevolgde hyperlink" xfId="226" builtinId="9" hidden="1"/>
    <cellStyle name="Gevolgde hyperlink" xfId="228" builtinId="9" hidden="1"/>
    <cellStyle name="Gevolgde hyperlink" xfId="230" builtinId="9" hidden="1"/>
    <cellStyle name="Gevolgde hyperlink" xfId="232" builtinId="9" hidden="1"/>
    <cellStyle name="Gevolgde hyperlink" xfId="234" builtinId="9" hidden="1"/>
    <cellStyle name="Gevolgde hyperlink" xfId="236" builtinId="9" hidden="1"/>
    <cellStyle name="Gevolgde hyperlink" xfId="238" builtinId="9" hidden="1"/>
    <cellStyle name="Gevolgde hyperlink" xfId="240" builtinId="9" hidden="1"/>
    <cellStyle name="Gevolgde hyperlink" xfId="242" builtinId="9" hidden="1"/>
    <cellStyle name="Gevolgde hyperlink" xfId="244" builtinId="9" hidden="1"/>
    <cellStyle name="Gevolgde hyperlink" xfId="246" builtinId="9" hidden="1"/>
    <cellStyle name="Gevolgde hyperlink" xfId="248" builtinId="9" hidden="1"/>
    <cellStyle name="Gevolgde hyperlink" xfId="250" builtinId="9" hidden="1"/>
    <cellStyle name="Gevolgde hyperlink" xfId="252" builtinId="9" hidden="1"/>
    <cellStyle name="Gevolgde hyperlink" xfId="254" builtinId="9" hidden="1"/>
    <cellStyle name="Gevolgde hyperlink" xfId="256" builtinId="9" hidden="1"/>
    <cellStyle name="Gevolgde hyperlink" xfId="258" builtinId="9" hidden="1"/>
    <cellStyle name="Gevolgde hyperlink" xfId="260" builtinId="9" hidden="1"/>
    <cellStyle name="Gevolgde hyperlink" xfId="262" builtinId="9" hidden="1"/>
    <cellStyle name="Gevolgde hyperlink" xfId="264" builtinId="9" hidden="1"/>
    <cellStyle name="Gevolgde hyperlink" xfId="266" builtinId="9" hidden="1"/>
    <cellStyle name="Gevolgde hyperlink" xfId="268" builtinId="9" hidden="1"/>
    <cellStyle name="Gevolgde hyperlink" xfId="270" builtinId="9" hidden="1"/>
    <cellStyle name="Gevolgde hyperlink" xfId="272" builtinId="9" hidden="1"/>
    <cellStyle name="Gevolgde hyperlink" xfId="274" builtinId="9" hidden="1"/>
    <cellStyle name="Gevolgde hyperlink" xfId="276" builtinId="9" hidden="1"/>
    <cellStyle name="Gevolgde hyperlink" xfId="278" builtinId="9" hidden="1"/>
    <cellStyle name="Gevolgde hyperlink" xfId="280" builtinId="9" hidden="1"/>
    <cellStyle name="Gevolgde hyperlink" xfId="282" builtinId="9" hidden="1"/>
    <cellStyle name="Gevolgde hyperlink" xfId="284" builtinId="9" hidden="1"/>
    <cellStyle name="Gevolgde hyperlink" xfId="286" builtinId="9" hidden="1"/>
    <cellStyle name="Gevolgde hyperlink" xfId="288" builtinId="9" hidden="1"/>
    <cellStyle name="Gevolgde hyperlink" xfId="290" builtinId="9" hidden="1"/>
    <cellStyle name="Gevolgde hyperlink" xfId="292" builtinId="9" hidden="1"/>
    <cellStyle name="Gevolgde hyperlink" xfId="294" builtinId="9" hidden="1"/>
    <cellStyle name="Gevolgde hyperlink" xfId="296" builtinId="9" hidden="1"/>
    <cellStyle name="Gevolgde hyperlink" xfId="298" builtinId="9" hidden="1"/>
    <cellStyle name="Gevolgde hyperlink" xfId="300" builtinId="9" hidden="1"/>
    <cellStyle name="Gevolgde hyperlink" xfId="302" builtinId="9" hidden="1"/>
    <cellStyle name="Gevolgde hyperlink" xfId="304" builtinId="9" hidden="1"/>
    <cellStyle name="Gevolgde hyperlink" xfId="306" builtinId="9" hidden="1"/>
    <cellStyle name="Gevolgde hyperlink" xfId="308" builtinId="9" hidden="1"/>
    <cellStyle name="Gevolgde hyperlink" xfId="310" builtinId="9" hidden="1"/>
    <cellStyle name="Gevolgde hyperlink" xfId="312" builtinId="9" hidden="1"/>
    <cellStyle name="Gevolgde hyperlink" xfId="314" builtinId="9" hidden="1"/>
    <cellStyle name="Gevolgde hyperlink" xfId="316" builtinId="9" hidden="1"/>
    <cellStyle name="Gevolgde hyperlink" xfId="318" builtinId="9" hidden="1"/>
    <cellStyle name="Gevolgde hyperlink" xfId="320" builtinId="9" hidden="1"/>
    <cellStyle name="Gevolgde hyperlink" xfId="322" builtinId="9" hidden="1"/>
    <cellStyle name="Gevolgde hyperlink" xfId="324" builtinId="9" hidden="1"/>
    <cellStyle name="Gevolgde hyperlink" xfId="326" builtinId="9" hidden="1"/>
    <cellStyle name="Gevolgde hyperlink" xfId="328" builtinId="9" hidden="1"/>
    <cellStyle name="Gevolgde hyperlink" xfId="330" builtinId="9" hidden="1"/>
    <cellStyle name="Gevolgde hyperlink" xfId="332" builtinId="9" hidden="1"/>
    <cellStyle name="Gevolgde hyperlink" xfId="334" builtinId="9" hidden="1"/>
    <cellStyle name="Gevolgde hyperlink" xfId="336" builtinId="9" hidden="1"/>
    <cellStyle name="Gevolgde hyperlink" xfId="338" builtinId="9" hidden="1"/>
    <cellStyle name="Gevolgde hyperlink" xfId="340" builtinId="9" hidden="1"/>
    <cellStyle name="Gevolgde hyperlink" xfId="342" builtinId="9" hidden="1"/>
    <cellStyle name="Gevolgde hyperlink" xfId="344" builtinId="9" hidden="1"/>
    <cellStyle name="Gevolgde hyperlink" xfId="346" builtinId="9" hidden="1"/>
    <cellStyle name="Gevolgde hyperlink" xfId="348" builtinId="9" hidden="1"/>
    <cellStyle name="Gevolgde hyperlink" xfId="350" builtinId="9" hidden="1"/>
    <cellStyle name="Gevolgde hyperlink" xfId="352" builtinId="9" hidden="1"/>
    <cellStyle name="Gevolgde hyperlink" xfId="354" builtinId="9" hidden="1"/>
    <cellStyle name="Gevolgde hyperlink" xfId="356" builtinId="9" hidden="1"/>
    <cellStyle name="Gevolgde hyperlink" xfId="358" builtinId="9" hidden="1"/>
    <cellStyle name="Gevolgde hyperlink" xfId="360" builtinId="9" hidden="1"/>
    <cellStyle name="Gevolgde hyperlink" xfId="362" builtinId="9" hidden="1"/>
    <cellStyle name="Gevolgde hyperlink" xfId="364" builtinId="9" hidden="1"/>
    <cellStyle name="Gevolgde hyperlink" xfId="366" builtinId="9" hidden="1"/>
    <cellStyle name="Gevolgde hyperlink" xfId="368" builtinId="9" hidden="1"/>
    <cellStyle name="Gevolgde hyperlink" xfId="370" builtinId="9" hidden="1"/>
    <cellStyle name="Gevolgde hyperlink" xfId="372" builtinId="9" hidden="1"/>
    <cellStyle name="Gevolgde hyperlink" xfId="374" builtinId="9" hidden="1"/>
    <cellStyle name="Gevolgde hyperlink" xfId="376" builtinId="9" hidden="1"/>
    <cellStyle name="Gevolgde hyperlink" xfId="378" builtinId="9" hidden="1"/>
    <cellStyle name="Gevolgde hyperlink" xfId="380" builtinId="9" hidden="1"/>
    <cellStyle name="Gevolgde hyperlink" xfId="382" builtinId="9" hidden="1"/>
    <cellStyle name="Gevolgde hyperlink" xfId="384" builtinId="9" hidden="1"/>
    <cellStyle name="Gevolgde hyperlink" xfId="386" builtinId="9" hidden="1"/>
    <cellStyle name="Gevolgde hyperlink" xfId="388" builtinId="9" hidden="1"/>
    <cellStyle name="Gevolgde hyperlink" xfId="390" builtinId="9" hidden="1"/>
    <cellStyle name="Gevolgde hyperlink" xfId="392" builtinId="9" hidden="1"/>
    <cellStyle name="Gevolgde hyperlink" xfId="394" builtinId="9" hidden="1"/>
    <cellStyle name="Gevolgde hyperlink" xfId="396" builtinId="9" hidden="1"/>
    <cellStyle name="Gevolgde hyperlink" xfId="398" builtinId="9" hidden="1"/>
    <cellStyle name="Gevolgde hyperlink" xfId="400" builtinId="9" hidden="1"/>
    <cellStyle name="Gevolgde hyperlink" xfId="402" builtinId="9" hidden="1"/>
    <cellStyle name="Gevolgde hyperlink" xfId="404" builtinId="9" hidden="1"/>
    <cellStyle name="Gevolgde hyperlink" xfId="406" builtinId="9" hidden="1"/>
    <cellStyle name="Gevolgde hyperlink" xfId="408" builtinId="9" hidden="1"/>
    <cellStyle name="Gevolgde hyperlink" xfId="410" builtinId="9" hidden="1"/>
    <cellStyle name="Gevolgde hyperlink" xfId="412" builtinId="9" hidden="1"/>
    <cellStyle name="Gevolgde hyperlink" xfId="414" builtinId="9" hidden="1"/>
    <cellStyle name="Gevolgde hyperlink" xfId="416" builtinId="9" hidden="1"/>
    <cellStyle name="Gevolgde hyperlink" xfId="418" builtinId="9" hidden="1"/>
    <cellStyle name="Gevolgde hyperlink" xfId="420" builtinId="9" hidden="1"/>
    <cellStyle name="Gevolgde hyperlink" xfId="422" builtinId="9" hidden="1"/>
    <cellStyle name="Gevolgde hyperlink" xfId="424" builtinId="9" hidden="1"/>
    <cellStyle name="Gevolgde hyperlink" xfId="426" builtinId="9" hidden="1"/>
    <cellStyle name="Gevolgde hyperlink" xfId="428" builtinId="9" hidden="1"/>
    <cellStyle name="Gevolgde hyperlink" xfId="430" builtinId="9" hidden="1"/>
    <cellStyle name="Gevolgde hyperlink" xfId="432" builtinId="9" hidden="1"/>
    <cellStyle name="Gevolgde hyperlink" xfId="434" builtinId="9" hidden="1"/>
    <cellStyle name="Gevolgde hyperlink" xfId="436" builtinId="9" hidden="1"/>
    <cellStyle name="Gevolgde hyperlink" xfId="438" builtinId="9" hidden="1"/>
    <cellStyle name="Gevolgde hyperlink" xfId="440" builtinId="9" hidden="1"/>
    <cellStyle name="Gevolgde hyperlink" xfId="442" builtinId="9" hidden="1"/>
    <cellStyle name="Gevolgde hyperlink" xfId="444" builtinId="9" hidden="1"/>
    <cellStyle name="Gevolgde hyperlink" xfId="446" builtinId="9" hidden="1"/>
    <cellStyle name="Gevolgde hyperlink" xfId="448" builtinId="9" hidden="1"/>
    <cellStyle name="Gevolgde hyperlink" xfId="450" builtinId="9" hidden="1"/>
    <cellStyle name="Gevolgde hyperlink" xfId="452" builtinId="9" hidden="1"/>
    <cellStyle name="Gevolgde hyperlink" xfId="454" builtinId="9" hidden="1"/>
    <cellStyle name="Gevolgde hyperlink" xfId="456" builtinId="9" hidden="1"/>
    <cellStyle name="Gevolgde hyperlink" xfId="458" builtinId="9" hidden="1"/>
    <cellStyle name="Gevolgde hyperlink" xfId="460" builtinId="9" hidden="1"/>
    <cellStyle name="Gevolgde hyperlink" xfId="462" builtinId="9" hidden="1"/>
    <cellStyle name="Gevolgde hyperlink" xfId="464" builtinId="9" hidden="1"/>
    <cellStyle name="Gevolgde hyperlink" xfId="466" builtinId="9" hidden="1"/>
    <cellStyle name="Gevolgde hyperlink" xfId="468" builtinId="9" hidden="1"/>
    <cellStyle name="Gevolgde hyperlink" xfId="470" builtinId="9" hidden="1"/>
    <cellStyle name="Gevolgde hyperlink" xfId="472" builtinId="9" hidden="1"/>
    <cellStyle name="Gevolgde hyperlink" xfId="474" builtinId="9" hidden="1"/>
    <cellStyle name="Gevolgde hyperlink" xfId="476" builtinId="9" hidden="1"/>
    <cellStyle name="Gevolgde hyperlink" xfId="478" builtinId="9" hidden="1"/>
    <cellStyle name="Gevolgde hyperlink" xfId="480" builtinId="9" hidden="1"/>
    <cellStyle name="Gevolgde hyperlink" xfId="482" builtinId="9" hidden="1"/>
    <cellStyle name="Gevolgde hyperlink" xfId="484" builtinId="9" hidden="1"/>
    <cellStyle name="Gevolgde hyperlink" xfId="486" builtinId="9" hidden="1"/>
    <cellStyle name="Gevolgde hyperlink" xfId="488" builtinId="9" hidden="1"/>
    <cellStyle name="Gevolgde hyperlink" xfId="490" builtinId="9" hidden="1"/>
    <cellStyle name="Gevolgde hyperlink" xfId="492" builtinId="9" hidden="1"/>
    <cellStyle name="Gevolgde hyperlink" xfId="494" builtinId="9" hidden="1"/>
    <cellStyle name="Gevolgde hyperlink" xfId="496" builtinId="9" hidden="1"/>
    <cellStyle name="Gevolgde hyperlink" xfId="498" builtinId="9" hidden="1"/>
    <cellStyle name="Gevolgde hyperlink" xfId="500" builtinId="9" hidden="1"/>
    <cellStyle name="Gevolgde hyperlink" xfId="502" builtinId="9" hidden="1"/>
    <cellStyle name="Gevolgde hyperlink" xfId="504" builtinId="9" hidden="1"/>
    <cellStyle name="Gevolgde hyperlink" xfId="506" builtinId="9" hidden="1"/>
    <cellStyle name="Gevolgde hyperlink" xfId="508" builtinId="9" hidden="1"/>
    <cellStyle name="Gevolgde hyperlink" xfId="510" builtinId="9" hidden="1"/>
    <cellStyle name="Gevolgde hyperlink" xfId="512" builtinId="9" hidden="1"/>
    <cellStyle name="Gevolgde hyperlink" xfId="514" builtinId="9" hidden="1"/>
    <cellStyle name="Gevolgde hyperlink" xfId="516" builtinId="9" hidden="1"/>
    <cellStyle name="Gevolgde hyperlink" xfId="518" builtinId="9" hidden="1"/>
    <cellStyle name="Gevolgde hyperlink" xfId="520" builtinId="9" hidden="1"/>
    <cellStyle name="Gevolgde hyperlink" xfId="522" builtinId="9" hidden="1"/>
    <cellStyle name="Gevolgde hyperlink" xfId="524" builtinId="9" hidden="1"/>
    <cellStyle name="Gevolgde hyperlink" xfId="526" builtinId="9" hidden="1"/>
    <cellStyle name="Gevolgde hyperlink" xfId="528" builtinId="9" hidden="1"/>
    <cellStyle name="Gevolgde hyperlink" xfId="530" builtinId="9" hidden="1"/>
    <cellStyle name="Gevolgde hyperlink" xfId="532" builtinId="9" hidden="1"/>
    <cellStyle name="Gevolgde hyperlink" xfId="534" builtinId="9" hidden="1"/>
    <cellStyle name="Gevolgde hyperlink" xfId="536" builtinId="9" hidden="1"/>
    <cellStyle name="Gevolgde hyperlink" xfId="538" builtinId="9" hidden="1"/>
    <cellStyle name="Gevolgde hyperlink" xfId="540" builtinId="9" hidden="1"/>
    <cellStyle name="Gevolgde hyperlink" xfId="542" builtinId="9" hidden="1"/>
    <cellStyle name="Gevolgde hyperlink" xfId="544" builtinId="9" hidden="1"/>
    <cellStyle name="Gevolgde hyperlink" xfId="546" builtinId="9" hidden="1"/>
    <cellStyle name="Gevolgde hyperlink" xfId="548" builtinId="9" hidden="1"/>
    <cellStyle name="Gevolgde hyperlink" xfId="550" builtinId="9" hidden="1"/>
    <cellStyle name="Gevolgde hyperlink" xfId="552" builtinId="9" hidden="1"/>
    <cellStyle name="Gevolgde hyperlink" xfId="554" builtinId="9" hidden="1"/>
    <cellStyle name="Gevolgde hyperlink" xfId="556" builtinId="9" hidden="1"/>
    <cellStyle name="Gevolgde hyperlink" xfId="558" builtinId="9" hidden="1"/>
    <cellStyle name="Gevolgde hyperlink" xfId="560" builtinId="9" hidden="1"/>
    <cellStyle name="Gevolgde hyperlink" xfId="562" builtinId="9" hidden="1"/>
    <cellStyle name="Gevolgde hyperlink" xfId="564" builtinId="9" hidden="1"/>
    <cellStyle name="Gevolgde hyperlink" xfId="566" builtinId="9" hidden="1"/>
    <cellStyle name="Gevolgde hyperlink" xfId="568" builtinId="9" hidden="1"/>
    <cellStyle name="Gevolgde hyperlink" xfId="570" builtinId="9" hidden="1"/>
    <cellStyle name="Gevolgde hyperlink" xfId="572" builtinId="9" hidden="1"/>
    <cellStyle name="Gevolgde hyperlink" xfId="574" builtinId="9" hidden="1"/>
    <cellStyle name="Gevolgde hyperlink" xfId="576" builtinId="9" hidden="1"/>
    <cellStyle name="Gevolgde hyperlink" xfId="578" builtinId="9" hidden="1"/>
    <cellStyle name="Gevolgde hyperlink" xfId="580" builtinId="9" hidden="1"/>
    <cellStyle name="Gevolgde hyperlink" xfId="582" builtinId="9" hidden="1"/>
    <cellStyle name="Gevolgde hyperlink" xfId="584" builtinId="9" hidden="1"/>
    <cellStyle name="Gevolgde hyperlink" xfId="586" builtinId="9" hidden="1"/>
    <cellStyle name="Gevolgde hyperlink" xfId="588" builtinId="9" hidden="1"/>
    <cellStyle name="Gevolgde hyperlink" xfId="590" builtinId="9" hidden="1"/>
    <cellStyle name="Gevolgde hyperlink" xfId="592" builtinId="9" hidden="1"/>
    <cellStyle name="Gevolgde hyperlink" xfId="594" builtinId="9" hidden="1"/>
    <cellStyle name="Gevolgde hyperlink" xfId="596" builtinId="9" hidden="1"/>
    <cellStyle name="Gevolgde hyperlink" xfId="598" builtinId="9" hidden="1"/>
    <cellStyle name="Gevolgde hyperlink" xfId="600" builtinId="9" hidden="1"/>
    <cellStyle name="Gevolgde hyperlink" xfId="602" builtinId="9" hidden="1"/>
    <cellStyle name="Gevolgde hyperlink" xfId="604" builtinId="9" hidden="1"/>
    <cellStyle name="Gevolgde hyperlink" xfId="606" builtinId="9" hidden="1"/>
    <cellStyle name="Gevolgde hyperlink" xfId="608" builtinId="9" hidden="1"/>
    <cellStyle name="Gevolgde hyperlink" xfId="610" builtinId="9" hidden="1"/>
    <cellStyle name="Gevolgde hyperlink" xfId="612" builtinId="9" hidden="1"/>
    <cellStyle name="Gevolgde hyperlink" xfId="614" builtinId="9" hidden="1"/>
    <cellStyle name="Gevolgde hyperlink" xfId="616" builtinId="9" hidden="1"/>
    <cellStyle name="Gevolgde hyperlink" xfId="618" builtinId="9" hidden="1"/>
    <cellStyle name="Gevolgde hyperlink" xfId="620" builtinId="9" hidden="1"/>
    <cellStyle name="Gevolgde hyperlink" xfId="622" builtinId="9" hidden="1"/>
    <cellStyle name="Gevolgde hyperlink" xfId="624" builtinId="9" hidden="1"/>
    <cellStyle name="Gevolgde hyperlink" xfId="626" builtinId="9" hidden="1"/>
    <cellStyle name="Gevolgde hyperlink" xfId="628" builtinId="9" hidden="1"/>
    <cellStyle name="Gevolgde hyperlink" xfId="630" builtinId="9" hidden="1"/>
    <cellStyle name="Gevolgde hyperlink" xfId="632" builtinId="9" hidden="1"/>
    <cellStyle name="Gevolgde hyperlink" xfId="634" builtinId="9" hidden="1"/>
    <cellStyle name="Gevolgde hyperlink" xfId="636" builtinId="9" hidden="1"/>
    <cellStyle name="Gevolgde hyperlink" xfId="638" builtinId="9" hidden="1"/>
    <cellStyle name="Gevolgde hyperlink" xfId="640" builtinId="9" hidden="1"/>
    <cellStyle name="Gevolgde hyperlink" xfId="642" builtinId="9" hidden="1"/>
    <cellStyle name="Gevolgde hyperlink" xfId="644" builtinId="9" hidden="1"/>
    <cellStyle name="Gevolgde hyperlink" xfId="646" builtinId="9" hidden="1"/>
    <cellStyle name="Gevolgde hyperlink" xfId="648" builtinId="9" hidden="1"/>
    <cellStyle name="Gevolgde hyperlink" xfId="650" builtinId="9" hidden="1"/>
    <cellStyle name="Gevolgde hyperlink" xfId="652" builtinId="9" hidden="1"/>
    <cellStyle name="Gevolgde hyperlink" xfId="654" builtinId="9" hidden="1"/>
    <cellStyle name="Gevolgde hyperlink" xfId="656" builtinId="9" hidden="1"/>
    <cellStyle name="Gevolgde hyperlink" xfId="658" builtinId="9" hidden="1"/>
    <cellStyle name="Gevolgde hyperlink" xfId="660" builtinId="9" hidden="1"/>
    <cellStyle name="Gevolgde hyperlink" xfId="662" builtinId="9" hidden="1"/>
    <cellStyle name="Gevolgde hyperlink" xfId="664" builtinId="9" hidden="1"/>
    <cellStyle name="Gevolgde hyperlink" xfId="666" builtinId="9" hidden="1"/>
    <cellStyle name="Gevolgde hyperlink" xfId="668" builtinId="9" hidden="1"/>
    <cellStyle name="Gevolgde hyperlink" xfId="670" builtinId="9" hidden="1"/>
    <cellStyle name="Gevolgde hyperlink" xfId="672" builtinId="9" hidden="1"/>
    <cellStyle name="Gevolgde hyperlink" xfId="674" builtinId="9" hidden="1"/>
    <cellStyle name="Gevolgde hyperlink" xfId="676" builtinId="9" hidden="1"/>
    <cellStyle name="Gevolgde hyperlink" xfId="678" builtinId="9" hidden="1"/>
    <cellStyle name="Gevolgde hyperlink" xfId="680" builtinId="9" hidden="1"/>
    <cellStyle name="Gevolgde hyperlink" xfId="682" builtinId="9" hidden="1"/>
    <cellStyle name="Gevolgde hyperlink" xfId="684" builtinId="9" hidden="1"/>
    <cellStyle name="Gevolgde hyperlink" xfId="686" builtinId="9" hidden="1"/>
    <cellStyle name="Gevolgde hyperlink" xfId="688" builtinId="9" hidden="1"/>
    <cellStyle name="Gevolgde hyperlink" xfId="690" builtinId="9" hidden="1"/>
    <cellStyle name="Gevolgde hyperlink" xfId="692" builtinId="9" hidden="1"/>
    <cellStyle name="Gevolgde hyperlink" xfId="694" builtinId="9" hidden="1"/>
    <cellStyle name="Gevolgde hyperlink" xfId="696" builtinId="9" hidden="1"/>
    <cellStyle name="Gevolgde hyperlink" xfId="698" builtinId="9" hidden="1"/>
    <cellStyle name="Gevolgde hyperlink" xfId="700" builtinId="9" hidden="1"/>
    <cellStyle name="Gevolgde hyperlink" xfId="702" builtinId="9" hidden="1"/>
    <cellStyle name="Gevolgde hyperlink" xfId="704" builtinId="9" hidden="1"/>
    <cellStyle name="Gevolgde hyperlink" xfId="706" builtinId="9" hidden="1"/>
    <cellStyle name="Gevolgde hyperlink" xfId="708" builtinId="9" hidden="1"/>
    <cellStyle name="Gevolgde hyperlink" xfId="710" builtinId="9" hidden="1"/>
    <cellStyle name="Gevolgde hyperlink" xfId="712" builtinId="9" hidden="1"/>
    <cellStyle name="Gevolgde hyperlink" xfId="714" builtinId="9" hidden="1"/>
    <cellStyle name="Gevolgde hyperlink" xfId="716" builtinId="9" hidden="1"/>
    <cellStyle name="Gevolgde hyperlink" xfId="718" builtinId="9" hidden="1"/>
    <cellStyle name="Gevolgde hyperlink" xfId="720" builtinId="9" hidden="1"/>
    <cellStyle name="Gevolgde hyperlink" xfId="722" builtinId="9" hidden="1"/>
    <cellStyle name="Gevolgde hyperlink" xfId="724" builtinId="9" hidden="1"/>
    <cellStyle name="Gevolgde hyperlink" xfId="726" builtinId="9" hidden="1"/>
    <cellStyle name="Gevolgde hyperlink" xfId="728" builtinId="9" hidden="1"/>
    <cellStyle name="Gevolgde hyperlink" xfId="730" builtinId="9" hidden="1"/>
    <cellStyle name="Gevolgde hyperlink" xfId="732" builtinId="9" hidden="1"/>
    <cellStyle name="Gevolgde hyperlink" xfId="734" builtinId="9" hidden="1"/>
    <cellStyle name="Gevolgde hyperlink" xfId="736" builtinId="9" hidden="1"/>
    <cellStyle name="Gevolgde hyperlink" xfId="738" builtinId="9" hidden="1"/>
    <cellStyle name="Gevolgde hyperlink" xfId="740" builtinId="9" hidden="1"/>
    <cellStyle name="Gevolgde hyperlink" xfId="742" builtinId="9" hidden="1"/>
    <cellStyle name="Gevolgde hyperlink" xfId="744" builtinId="9" hidden="1"/>
    <cellStyle name="Gevolgde hyperlink" xfId="746" builtinId="9" hidden="1"/>
    <cellStyle name="Gevolgde hyperlink" xfId="748" builtinId="9" hidden="1"/>
    <cellStyle name="Gevolgde hyperlink" xfId="750" builtinId="9" hidden="1"/>
    <cellStyle name="Gevolgde hyperlink" xfId="752" builtinId="9" hidden="1"/>
    <cellStyle name="Gevolgde hyperlink" xfId="754" builtinId="9" hidden="1"/>
    <cellStyle name="Gevolgde hyperlink" xfId="756" builtinId="9" hidden="1"/>
    <cellStyle name="Gevolgde hyperlink" xfId="758" builtinId="9" hidden="1"/>
    <cellStyle name="Gevolgde hyperlink" xfId="760" builtinId="9" hidden="1"/>
    <cellStyle name="Gevolgde hyperlink" xfId="762" builtinId="9" hidden="1"/>
    <cellStyle name="Gevolgde hyperlink" xfId="764" builtinId="9" hidden="1"/>
    <cellStyle name="Gevolgde hyperlink" xfId="766" builtinId="9" hidden="1"/>
    <cellStyle name="Gevolgde hyperlink" xfId="768" builtinId="9" hidden="1"/>
    <cellStyle name="Gevolgde hyperlink" xfId="770" builtinId="9" hidden="1"/>
    <cellStyle name="Gevolgde hyperlink" xfId="772" builtinId="9" hidden="1"/>
    <cellStyle name="Gevolgde hyperlink" xfId="774" builtinId="9" hidden="1"/>
    <cellStyle name="Gevolgde hyperlink" xfId="776" builtinId="9" hidden="1"/>
    <cellStyle name="Gevolgde hyperlink" xfId="778" builtinId="9" hidden="1"/>
    <cellStyle name="Gevolgde hyperlink" xfId="780" builtinId="9" hidden="1"/>
    <cellStyle name="Gevolgde hyperlink" xfId="782" builtinId="9" hidden="1"/>
    <cellStyle name="Gevolgde hyperlink" xfId="784" builtinId="9" hidden="1"/>
    <cellStyle name="Gevolgde hyperlink" xfId="786" builtinId="9" hidden="1"/>
    <cellStyle name="Gevolgde hyperlink" xfId="788" builtinId="9" hidden="1"/>
    <cellStyle name="Gevolgde hyperlink" xfId="790" builtinId="9" hidden="1"/>
    <cellStyle name="Gevolgde hyperlink" xfId="792" builtinId="9" hidden="1"/>
    <cellStyle name="Gevolgde hyperlink" xfId="794" builtinId="9" hidden="1"/>
    <cellStyle name="Gevolgde hyperlink" xfId="796" builtinId="9" hidden="1"/>
    <cellStyle name="Gevolgde hyperlink" xfId="798" builtinId="9" hidden="1"/>
    <cellStyle name="Gevolgde hyperlink" xfId="800" builtinId="9" hidden="1"/>
    <cellStyle name="Gevolgde hyperlink" xfId="802" builtinId="9" hidden="1"/>
    <cellStyle name="Gevolgde hyperlink" xfId="804" builtinId="9" hidden="1"/>
    <cellStyle name="Gevolgde hyperlink" xfId="806" builtinId="9" hidden="1"/>
    <cellStyle name="Gevolgde hyperlink" xfId="808" builtinId="9" hidden="1"/>
    <cellStyle name="Gevolgde hyperlink" xfId="810" builtinId="9" hidden="1"/>
    <cellStyle name="Gevolgde hyperlink" xfId="812" builtinId="9" hidden="1"/>
    <cellStyle name="Gevolgde hyperlink" xfId="814" builtinId="9" hidden="1"/>
    <cellStyle name="Gevolgde hyperlink" xfId="816" builtinId="9" hidden="1"/>
    <cellStyle name="Gevolgde hyperlink" xfId="818" builtinId="9" hidden="1"/>
    <cellStyle name="Gevolgde hyperlink" xfId="820" builtinId="9" hidden="1"/>
    <cellStyle name="Gevolgde hyperlink" xfId="822" builtinId="9" hidden="1"/>
    <cellStyle name="Gevolgde hyperlink" xfId="824" builtinId="9" hidden="1"/>
    <cellStyle name="Gevolgde hyperlink" xfId="826" builtinId="9" hidden="1"/>
    <cellStyle name="Gevolgde hyperlink" xfId="828" builtinId="9" hidden="1"/>
    <cellStyle name="Gevolgde hyperlink" xfId="830" builtinId="9" hidden="1"/>
    <cellStyle name="Gevolgde hyperlink" xfId="832" builtinId="9" hidden="1"/>
    <cellStyle name="Gevolgde hyperlink" xfId="834" builtinId="9" hidden="1"/>
    <cellStyle name="Gevolgde hyperlink" xfId="836" builtinId="9" hidden="1"/>
    <cellStyle name="Gevolgde hyperlink" xfId="838" builtinId="9" hidden="1"/>
    <cellStyle name="Gevolgde hyperlink" xfId="840" builtinId="9" hidden="1"/>
    <cellStyle name="Gevolgde hyperlink" xfId="842" builtinId="9" hidden="1"/>
    <cellStyle name="Gevolgde hyperlink" xfId="844" builtinId="9" hidden="1"/>
    <cellStyle name="Gevolgde hyperlink" xfId="846" builtinId="9" hidden="1"/>
    <cellStyle name="Gevolgde hyperlink" xfId="848" builtinId="9" hidden="1"/>
    <cellStyle name="Gevolgde hyperlink" xfId="850" builtinId="9" hidden="1"/>
    <cellStyle name="Gevolgde hyperlink" xfId="852" builtinId="9" hidden="1"/>
    <cellStyle name="Gevolgde hyperlink" xfId="854" builtinId="9" hidden="1"/>
    <cellStyle name="Gevolgde hyperlink" xfId="856" builtinId="9" hidden="1"/>
    <cellStyle name="Gevolgde hyperlink" xfId="858" builtinId="9" hidden="1"/>
    <cellStyle name="Gevolgde hyperlink" xfId="860" builtinId="9" hidden="1"/>
    <cellStyle name="Gevolgde hyperlink" xfId="862" builtinId="9" hidden="1"/>
    <cellStyle name="Gevolgde hyperlink" xfId="864" builtinId="9" hidden="1"/>
    <cellStyle name="Gevolgde hyperlink" xfId="866" builtinId="9" hidden="1"/>
    <cellStyle name="Gevolgde hyperlink" xfId="868" builtinId="9" hidden="1"/>
    <cellStyle name="Gevolgde hyperlink" xfId="870" builtinId="9" hidden="1"/>
    <cellStyle name="Gevolgde hyperlink" xfId="872" builtinId="9" hidden="1"/>
    <cellStyle name="Gevolgde hyperlink" xfId="874" builtinId="9" hidden="1"/>
    <cellStyle name="Gevolgde hyperlink" xfId="876" builtinId="9" hidden="1"/>
    <cellStyle name="Gevolgde hyperlink" xfId="878" builtinId="9" hidden="1"/>
    <cellStyle name="Gevolgde hyperlink" xfId="880" builtinId="9" hidden="1"/>
    <cellStyle name="Gevolgde hyperlink" xfId="882" builtinId="9" hidden="1"/>
    <cellStyle name="Gevolgde hyperlink" xfId="884" builtinId="9" hidden="1"/>
    <cellStyle name="Gevolgde hyperlink" xfId="886" builtinId="9" hidden="1"/>
    <cellStyle name="Gevolgde hyperlink" xfId="888" builtinId="9" hidden="1"/>
    <cellStyle name="Gevolgde hyperlink" xfId="890" builtinId="9" hidden="1"/>
    <cellStyle name="Gevolgde hyperlink" xfId="892" builtinId="9" hidden="1"/>
    <cellStyle name="Gevolgde hyperlink" xfId="894" builtinId="9" hidden="1"/>
    <cellStyle name="Gevolgde hyperlink" xfId="896" builtinId="9" hidden="1"/>
    <cellStyle name="Gevolgde hyperlink" xfId="898" builtinId="9" hidden="1"/>
    <cellStyle name="Gevolgde hyperlink" xfId="900" builtinId="9" hidden="1"/>
    <cellStyle name="Gevolgde hyperlink" xfId="902" builtinId="9" hidden="1"/>
    <cellStyle name="Gevolgde hyperlink" xfId="904" builtinId="9" hidden="1"/>
    <cellStyle name="Gevolgde hyperlink" xfId="906" builtinId="9" hidden="1"/>
    <cellStyle name="Gevolgde hyperlink" xfId="908" builtinId="9" hidden="1"/>
    <cellStyle name="Gevolgde hyperlink" xfId="910" builtinId="9" hidden="1"/>
    <cellStyle name="Gevolgde hyperlink" xfId="912" builtinId="9" hidden="1"/>
    <cellStyle name="Gevolgde hyperlink" xfId="914" builtinId="9" hidden="1"/>
    <cellStyle name="Gevolgde hyperlink" xfId="916" builtinId="9" hidden="1"/>
    <cellStyle name="Gevolgde hyperlink" xfId="918" builtinId="9" hidden="1"/>
    <cellStyle name="Gevolgde hyperlink" xfId="920" builtinId="9" hidden="1"/>
    <cellStyle name="Gevolgde hyperlink" xfId="922" builtinId="9" hidden="1"/>
    <cellStyle name="Gevolgde hyperlink" xfId="924" builtinId="9" hidden="1"/>
    <cellStyle name="Gevolgde hyperlink" xfId="926" builtinId="9" hidden="1"/>
    <cellStyle name="Gevolgde hyperlink" xfId="928" builtinId="9" hidden="1"/>
    <cellStyle name="Gevolgde hyperlink" xfId="930" builtinId="9" hidden="1"/>
    <cellStyle name="Gevolgde hyperlink" xfId="932" builtinId="9" hidden="1"/>
    <cellStyle name="Gevolgde hyperlink" xfId="934" builtinId="9" hidden="1"/>
    <cellStyle name="Gevolgde hyperlink" xfId="936" builtinId="9" hidden="1"/>
    <cellStyle name="Gevolgde hyperlink" xfId="938" builtinId="9" hidden="1"/>
    <cellStyle name="Gevolgde hyperlink" xfId="940" builtinId="9" hidden="1"/>
    <cellStyle name="Gevolgde hyperlink" xfId="942" builtinId="9" hidden="1"/>
    <cellStyle name="Gevolgde hyperlink" xfId="944" builtinId="9" hidden="1"/>
    <cellStyle name="Gevolgde hyperlink" xfId="946" builtinId="9" hidden="1"/>
    <cellStyle name="Gevolgde hyperlink" xfId="948" builtinId="9" hidden="1"/>
    <cellStyle name="Gevolgde hyperlink" xfId="950" builtinId="9" hidden="1"/>
    <cellStyle name="Gevolgde hyperlink" xfId="952" builtinId="9" hidden="1"/>
    <cellStyle name="Gevolgde hyperlink" xfId="954" builtinId="9" hidden="1"/>
    <cellStyle name="Gevolgde hyperlink" xfId="956" builtinId="9" hidden="1"/>
    <cellStyle name="Gevolgde hyperlink" xfId="958" builtinId="9" hidden="1"/>
    <cellStyle name="Gevolgde hyperlink" xfId="960" builtinId="9" hidden="1"/>
    <cellStyle name="Gevolgde hyperlink" xfId="962" builtinId="9" hidden="1"/>
    <cellStyle name="Gevolgde hyperlink" xfId="964" builtinId="9" hidden="1"/>
    <cellStyle name="Gevolgde hyperlink" xfId="966" builtinId="9" hidden="1"/>
    <cellStyle name="Gevolgde hyperlink" xfId="968" builtinId="9" hidden="1"/>
    <cellStyle name="Gevolgde hyperlink" xfId="970" builtinId="9" hidden="1"/>
    <cellStyle name="Gevolgde hyperlink" xfId="972" builtinId="9" hidden="1"/>
    <cellStyle name="Gevolgde hyperlink" xfId="974" builtinId="9" hidden="1"/>
    <cellStyle name="Gevolgde hyperlink" xfId="976" builtinId="9" hidden="1"/>
    <cellStyle name="Gevolgde hyperlink" xfId="978" builtinId="9" hidden="1"/>
    <cellStyle name="Gevolgde hyperlink" xfId="980" builtinId="9" hidden="1"/>
    <cellStyle name="Gevolgde hyperlink" xfId="982" builtinId="9" hidden="1"/>
    <cellStyle name="Gevolgde hyperlink" xfId="984" builtinId="9" hidden="1"/>
    <cellStyle name="Gevolgde hyperlink" xfId="986" builtinId="9" hidden="1"/>
    <cellStyle name="Gevolgde hyperlink" xfId="988" builtinId="9" hidden="1"/>
    <cellStyle name="Gevolgde hyperlink" xfId="990" builtinId="9" hidden="1"/>
    <cellStyle name="Gevolgde hyperlink" xfId="992" builtinId="9" hidden="1"/>
    <cellStyle name="Gevolgde hyperlink" xfId="994" builtinId="9" hidden="1"/>
    <cellStyle name="Gevolgde hyperlink" xfId="996" builtinId="9" hidden="1"/>
    <cellStyle name="Gevolgde hyperlink" xfId="998" builtinId="9" hidden="1"/>
    <cellStyle name="Gevolgde hyperlink" xfId="1000" builtinId="9" hidden="1"/>
    <cellStyle name="Gevolgde hyperlink" xfId="1002" builtinId="9" hidden="1"/>
    <cellStyle name="Gevolgde hyperlink" xfId="1004" builtinId="9" hidden="1"/>
    <cellStyle name="Gevolgde hyperlink" xfId="1006" builtinId="9" hidden="1"/>
    <cellStyle name="Gevolgde hyperlink" xfId="1008" builtinId="9" hidden="1"/>
    <cellStyle name="Gevolgde hyperlink" xfId="1010" builtinId="9" hidden="1"/>
    <cellStyle name="Gevolgde hyperlink" xfId="1012" builtinId="9" hidden="1"/>
    <cellStyle name="Gevolgde hyperlink" xfId="1014" builtinId="9" hidden="1"/>
    <cellStyle name="Gevolgde hyperlink" xfId="1016" builtinId="9" hidden="1"/>
    <cellStyle name="Gevolgde hyperlink" xfId="1018" builtinId="9" hidden="1"/>
    <cellStyle name="Gevolgde hyperlink" xfId="1020" builtinId="9" hidden="1"/>
    <cellStyle name="Gevolgde hyperlink" xfId="1022" builtinId="9" hidden="1"/>
    <cellStyle name="Gevolgde hyperlink" xfId="1024" builtinId="9" hidden="1"/>
    <cellStyle name="Gevolgde hyperlink" xfId="1026" builtinId="9" hidden="1"/>
    <cellStyle name="Gevolgde hyperlink" xfId="1028" builtinId="9" hidden="1"/>
    <cellStyle name="Gevolgde hyperlink" xfId="1030" builtinId="9" hidden="1"/>
    <cellStyle name="Gevolgde hyperlink" xfId="1032" builtinId="9" hidden="1"/>
    <cellStyle name="Gevolgde hyperlink" xfId="1034" builtinId="9" hidden="1"/>
    <cellStyle name="Gevolgde hyperlink" xfId="1036" builtinId="9" hidden="1"/>
    <cellStyle name="Gevolgde hyperlink" xfId="1038" builtinId="9" hidden="1"/>
    <cellStyle name="Gevolgde hyperlink" xfId="1040" builtinId="9" hidden="1"/>
    <cellStyle name="Gevolgde hyperlink" xfId="1042" builtinId="9" hidden="1"/>
    <cellStyle name="Gevolgde hyperlink" xfId="1044" builtinId="9" hidden="1"/>
    <cellStyle name="Gevolgde hyperlink" xfId="1046" builtinId="9" hidden="1"/>
    <cellStyle name="Gevolgde hyperlink" xfId="1048" builtinId="9" hidden="1"/>
    <cellStyle name="Gevolgde hyperlink" xfId="1050" builtinId="9" hidden="1"/>
    <cellStyle name="Gevolgde hyperlink" xfId="1052" builtinId="9" hidden="1"/>
    <cellStyle name="Gevolgde hyperlink" xfId="1054" builtinId="9" hidden="1"/>
    <cellStyle name="Gevolgde hyperlink" xfId="1056" builtinId="9" hidden="1"/>
    <cellStyle name="Gevolgde hyperlink" xfId="1058" builtinId="9" hidden="1"/>
    <cellStyle name="Gevolgde hyperlink" xfId="1060" builtinId="9" hidden="1"/>
    <cellStyle name="Gevolgde hyperlink" xfId="1062" builtinId="9" hidden="1"/>
    <cellStyle name="Gevolgde hyperlink" xfId="1064" builtinId="9" hidden="1"/>
    <cellStyle name="Gevolgde hyperlink" xfId="1066" builtinId="9" hidden="1"/>
    <cellStyle name="Gevolgde hyperlink" xfId="1068" builtinId="9" hidden="1"/>
    <cellStyle name="Gevolgde hyperlink" xfId="1070" builtinId="9" hidden="1"/>
    <cellStyle name="Gevolgde hyperlink" xfId="1072" builtinId="9" hidden="1"/>
    <cellStyle name="Gevolgde hyperlink" xfId="1074" builtinId="9" hidden="1"/>
    <cellStyle name="Gevolgde hyperlink" xfId="1076" builtinId="9" hidden="1"/>
    <cellStyle name="Gevolgde hyperlink" xfId="1078" builtinId="9" hidden="1"/>
    <cellStyle name="Gevolgde hyperlink" xfId="1080" builtinId="9" hidden="1"/>
    <cellStyle name="Gevolgde hyperlink" xfId="1082" builtinId="9" hidden="1"/>
    <cellStyle name="Gevolgde hyperlink" xfId="1084" builtinId="9" hidden="1"/>
    <cellStyle name="Gevolgde hyperlink" xfId="1086" builtinId="9" hidden="1"/>
    <cellStyle name="Gevolgde hyperlink" xfId="1088" builtinId="9" hidden="1"/>
    <cellStyle name="Gevolgde hyperlink" xfId="1090" builtinId="9" hidden="1"/>
    <cellStyle name="Gevolgde hyperlink" xfId="1092" builtinId="9" hidden="1"/>
    <cellStyle name="Gevolgde hyperlink" xfId="1094" builtinId="9" hidden="1"/>
    <cellStyle name="Gevolgde hyperlink" xfId="1096" builtinId="9" hidden="1"/>
    <cellStyle name="Gevolgde hyperlink" xfId="1098" builtinId="9" hidden="1"/>
    <cellStyle name="Gevolgde hyperlink" xfId="1100" builtinId="9" hidden="1"/>
    <cellStyle name="Gevolgde hyperlink" xfId="1102" builtinId="9" hidden="1"/>
    <cellStyle name="Gevolgde hyperlink" xfId="1104" builtinId="9" hidden="1"/>
    <cellStyle name="Gevolgde hyperlink" xfId="1106" builtinId="9" hidden="1"/>
    <cellStyle name="Gevolgde hyperlink" xfId="1108" builtinId="9" hidden="1"/>
    <cellStyle name="Gevolgde hyperlink" xfId="1110" builtinId="9" hidden="1"/>
    <cellStyle name="Gevolgde hyperlink" xfId="1112" builtinId="9" hidden="1"/>
    <cellStyle name="Gevolgde hyperlink" xfId="1114" builtinId="9" hidden="1"/>
    <cellStyle name="Gevolgde hyperlink" xfId="1116" builtinId="9" hidden="1"/>
    <cellStyle name="Gevolgde hyperlink" xfId="1118" builtinId="9" hidden="1"/>
    <cellStyle name="Gevolgde hyperlink" xfId="1120" builtinId="9" hidden="1"/>
    <cellStyle name="Gevolgde hyperlink" xfId="1122" builtinId="9" hidden="1"/>
    <cellStyle name="Gevolgde hyperlink" xfId="1124" builtinId="9" hidden="1"/>
    <cellStyle name="Gevolgde hyperlink" xfId="1126" builtinId="9" hidden="1"/>
    <cellStyle name="Gevolgde hyperlink" xfId="1128" builtinId="9" hidden="1"/>
    <cellStyle name="Gevolgde hyperlink" xfId="1130" builtinId="9" hidden="1"/>
    <cellStyle name="Gevolgde hyperlink" xfId="1132" builtinId="9" hidden="1"/>
    <cellStyle name="Gevolgde hyperlink" xfId="1134" builtinId="9" hidden="1"/>
    <cellStyle name="Gevolgde hyperlink" xfId="1136" builtinId="9" hidden="1"/>
    <cellStyle name="Gevolgde hyperlink" xfId="1138" builtinId="9" hidden="1"/>
    <cellStyle name="Gevolgde hyperlink" xfId="1140" builtinId="9" hidden="1"/>
    <cellStyle name="Gevolgde hyperlink" xfId="1142" builtinId="9" hidden="1"/>
    <cellStyle name="Gevolgde hyperlink" xfId="1144" builtinId="9" hidden="1"/>
    <cellStyle name="Gevolgde hyperlink" xfId="1146" builtinId="9" hidden="1"/>
    <cellStyle name="Gevolgde hyperlink" xfId="1148" builtinId="9" hidden="1"/>
    <cellStyle name="Gevolgde hyperlink" xfId="1150" builtinId="9" hidden="1"/>
    <cellStyle name="Gevolgde hyperlink" xfId="1152" builtinId="9" hidden="1"/>
    <cellStyle name="Gevolgde hyperlink" xfId="1154" builtinId="9" hidden="1"/>
    <cellStyle name="Gevolgde hyperlink" xfId="1156" builtinId="9" hidden="1"/>
    <cellStyle name="Gevolgde hyperlink" xfId="1158" builtinId="9" hidden="1"/>
    <cellStyle name="Gevolgde hyperlink" xfId="1160" builtinId="9" hidden="1"/>
    <cellStyle name="Gevolgde hyperlink" xfId="1162" builtinId="9" hidden="1"/>
    <cellStyle name="Gevolgde hyperlink" xfId="1164" builtinId="9" hidden="1"/>
    <cellStyle name="Gevolgde hyperlink" xfId="1166" builtinId="9" hidden="1"/>
    <cellStyle name="Gevolgde hyperlink" xfId="1168" builtinId="9" hidden="1"/>
    <cellStyle name="Gevolgde hyperlink" xfId="1170" builtinId="9" hidden="1"/>
    <cellStyle name="Gevolgde hyperlink" xfId="1172" builtinId="9" hidden="1"/>
    <cellStyle name="Gevolgde hyperlink" xfId="1174" builtinId="9" hidden="1"/>
    <cellStyle name="Gevolgde hyperlink" xfId="1176" builtinId="9" hidden="1"/>
    <cellStyle name="Gevolgde hyperlink" xfId="1178" builtinId="9" hidden="1"/>
    <cellStyle name="Gevolgde hyperlink" xfId="1180" builtinId="9" hidden="1"/>
    <cellStyle name="Gevolgde hyperlink" xfId="1182" builtinId="9" hidden="1"/>
    <cellStyle name="Gevolgde hyperlink" xfId="1184" builtinId="9" hidden="1"/>
    <cellStyle name="Gevolgde hyperlink" xfId="1186" builtinId="9" hidden="1"/>
    <cellStyle name="Gevolgde hyperlink" xfId="1188" builtinId="9" hidden="1"/>
    <cellStyle name="Gevolgde hyperlink" xfId="1190" builtinId="9" hidden="1"/>
    <cellStyle name="Gevolgde hyperlink" xfId="1192" builtinId="9" hidden="1"/>
    <cellStyle name="Gevolgde hyperlink" xfId="1194" builtinId="9" hidden="1"/>
    <cellStyle name="Gevolgde hyperlink" xfId="1196" builtinId="9" hidden="1"/>
    <cellStyle name="Gevolgde hyperlink" xfId="1198" builtinId="9" hidden="1"/>
    <cellStyle name="Gevolgde hyperlink" xfId="1200" builtinId="9" hidden="1"/>
    <cellStyle name="Gevolgde hyperlink" xfId="1202" builtinId="9" hidden="1"/>
    <cellStyle name="Gevolgde hyperlink" xfId="1204" builtinId="9" hidden="1"/>
    <cellStyle name="Gevolgde hyperlink" xfId="1206" builtinId="9" hidden="1"/>
    <cellStyle name="Gevolgde hyperlink" xfId="1208" builtinId="9" hidden="1"/>
    <cellStyle name="Gevolgde hyperlink" xfId="1210" builtinId="9" hidden="1"/>
    <cellStyle name="Gevolgde hyperlink" xfId="1212" builtinId="9" hidden="1"/>
    <cellStyle name="Gevolgde hyperlink" xfId="1214" builtinId="9" hidden="1"/>
    <cellStyle name="Gevolgde hyperlink" xfId="1216" builtinId="9" hidden="1"/>
    <cellStyle name="Gevolgde hyperlink" xfId="1218" builtinId="9" hidden="1"/>
    <cellStyle name="Gevolgde hyperlink" xfId="1220" builtinId="9" hidden="1"/>
    <cellStyle name="Gevolgde hyperlink" xfId="1222" builtinId="9" hidden="1"/>
    <cellStyle name="Gevolgde hyperlink" xfId="1224" builtinId="9" hidden="1"/>
    <cellStyle name="Gevolgde hyperlink" xfId="1226" builtinId="9" hidden="1"/>
    <cellStyle name="Gevolgde hyperlink" xfId="1228" builtinId="9" hidden="1"/>
    <cellStyle name="Gevolgde hyperlink" xfId="1230" builtinId="9" hidden="1"/>
    <cellStyle name="Gevolgde hyperlink" xfId="1232" builtinId="9" hidden="1"/>
    <cellStyle name="Gevolgde hyperlink" xfId="1234" builtinId="9" hidden="1"/>
    <cellStyle name="Gevolgde hyperlink" xfId="1236" builtinId="9" hidden="1"/>
    <cellStyle name="Gevolgde hyperlink" xfId="1238" builtinId="9" hidden="1"/>
    <cellStyle name="Gevolgde hyperlink" xfId="1240" builtinId="9" hidden="1"/>
    <cellStyle name="Gevolgde hyperlink" xfId="1242" builtinId="9" hidden="1"/>
    <cellStyle name="Gevolgde hyperlink" xfId="1244" builtinId="9" hidden="1"/>
    <cellStyle name="Gevolgde hyperlink" xfId="1246" builtinId="9" hidden="1"/>
    <cellStyle name="Gevolgde hyperlink" xfId="1248" builtinId="9" hidden="1"/>
    <cellStyle name="Gevolgde hyperlink" xfId="1250" builtinId="9" hidden="1"/>
    <cellStyle name="Gevolgde hyperlink" xfId="1252" builtinId="9" hidden="1"/>
    <cellStyle name="Gevolgde hyperlink" xfId="1254" builtinId="9" hidden="1"/>
    <cellStyle name="Gevolgde hyperlink" xfId="1256" builtinId="9" hidden="1"/>
    <cellStyle name="Gevolgde hyperlink" xfId="1258" builtinId="9" hidden="1"/>
    <cellStyle name="Gevolgde hyperlink" xfId="1260" builtinId="9" hidden="1"/>
    <cellStyle name="Gevolgde hyperlink" xfId="1262" builtinId="9" hidden="1"/>
    <cellStyle name="Gevolgde hyperlink" xfId="1264" builtinId="9" hidden="1"/>
    <cellStyle name="Gevolgde hyperlink" xfId="1266" builtinId="9" hidden="1"/>
    <cellStyle name="Gevolgde hyperlink" xfId="1268" builtinId="9" hidden="1"/>
    <cellStyle name="Gevolgde hyperlink" xfId="1270" builtinId="9" hidden="1"/>
    <cellStyle name="Gevolgde hyperlink" xfId="1272" builtinId="9" hidden="1"/>
    <cellStyle name="Gevolgde hyperlink" xfId="1274" builtinId="9" hidden="1"/>
    <cellStyle name="Gevolgde hyperlink" xfId="1276" builtinId="9" hidden="1"/>
    <cellStyle name="Gevolgde hyperlink" xfId="1278" builtinId="9" hidden="1"/>
    <cellStyle name="Gevolgde hyperlink" xfId="1280" builtinId="9" hidden="1"/>
    <cellStyle name="Gevolgde hyperlink" xfId="1282" builtinId="9" hidden="1"/>
    <cellStyle name="Gevolgde hyperlink" xfId="1284" builtinId="9" hidden="1"/>
    <cellStyle name="Gevolgde hyperlink" xfId="1286" builtinId="9" hidden="1"/>
    <cellStyle name="Gevolgde hyperlink" xfId="1288" builtinId="9" hidden="1"/>
    <cellStyle name="Gevolgde hyperlink" xfId="1290" builtinId="9" hidden="1"/>
    <cellStyle name="Gevolgde hyperlink" xfId="1292" builtinId="9" hidden="1"/>
    <cellStyle name="Gevolgde hyperlink" xfId="1294" builtinId="9" hidden="1"/>
    <cellStyle name="Gevolgde hyperlink" xfId="1296" builtinId="9" hidden="1"/>
    <cellStyle name="Gevolgde hyperlink" xfId="1298" builtinId="9" hidden="1"/>
    <cellStyle name="Gevolgde hyperlink" xfId="1300" builtinId="9" hidden="1"/>
    <cellStyle name="Gevolgde hyperlink" xfId="1302" builtinId="9" hidden="1"/>
    <cellStyle name="Gevolgde hyperlink" xfId="1304" builtinId="9" hidden="1"/>
    <cellStyle name="Gevolgde hyperlink" xfId="1306" builtinId="9" hidden="1"/>
    <cellStyle name="Gevolgde hyperlink" xfId="1308" builtinId="9" hidden="1"/>
    <cellStyle name="Gevolgde hyperlink" xfId="1310" builtinId="9" hidden="1"/>
    <cellStyle name="Gevolgde hyperlink" xfId="1312" builtinId="9" hidden="1"/>
    <cellStyle name="Gevolgde hyperlink" xfId="1314" builtinId="9" hidden="1"/>
    <cellStyle name="Gevolgde hyperlink" xfId="1316" builtinId="9" hidden="1"/>
    <cellStyle name="Gevolgde hyperlink" xfId="1318" builtinId="9" hidden="1"/>
    <cellStyle name="Gevolgde hyperlink" xfId="1320" builtinId="9" hidden="1"/>
    <cellStyle name="Gevolgde hyperlink" xfId="1322" builtinId="9" hidden="1"/>
    <cellStyle name="Gevolgde hyperlink" xfId="1324" builtinId="9" hidden="1"/>
    <cellStyle name="Gevolgde hyperlink" xfId="1326" builtinId="9" hidden="1"/>
    <cellStyle name="Gevolgde hyperlink" xfId="1328" builtinId="9" hidden="1"/>
    <cellStyle name="Gevolgde hyperlink" xfId="1330" builtinId="9" hidden="1"/>
    <cellStyle name="Gevolgde hyperlink" xfId="1332" builtinId="9" hidden="1"/>
    <cellStyle name="Gevolgde hyperlink" xfId="1334" builtinId="9" hidden="1"/>
    <cellStyle name="Gevolgde hyperlink" xfId="1336" builtinId="9" hidden="1"/>
    <cellStyle name="Gevolgde hyperlink" xfId="1338" builtinId="9" hidden="1"/>
    <cellStyle name="Gevolgde hyperlink" xfId="1340" builtinId="9" hidden="1"/>
    <cellStyle name="Gevolgde hyperlink" xfId="1342" builtinId="9" hidden="1"/>
    <cellStyle name="Gevolgde hyperlink" xfId="1344" builtinId="9" hidden="1"/>
    <cellStyle name="Gevolgde hyperlink" xfId="1346" builtinId="9" hidden="1"/>
    <cellStyle name="Gevolgde hyperlink" xfId="1348" builtinId="9" hidden="1"/>
    <cellStyle name="Gevolgde hyperlink" xfId="1350" builtinId="9" hidden="1"/>
    <cellStyle name="Gevolgde hyperlink" xfId="1352" builtinId="9" hidden="1"/>
    <cellStyle name="Gevolgde hyperlink" xfId="1354" builtinId="9" hidden="1"/>
    <cellStyle name="Gevolgde hyperlink" xfId="1356" builtinId="9" hidden="1"/>
    <cellStyle name="Gevolgde hyperlink" xfId="1358" builtinId="9" hidden="1"/>
    <cellStyle name="Gevolgde hyperlink" xfId="1360" builtinId="9" hidden="1"/>
    <cellStyle name="Gevolgde hyperlink" xfId="1362" builtinId="9" hidden="1"/>
    <cellStyle name="Gevolgde hyperlink" xfId="1364" builtinId="9" hidden="1"/>
    <cellStyle name="Gevolgde hyperlink" xfId="1366" builtinId="9" hidden="1"/>
    <cellStyle name="Gevolgde hyperlink" xfId="1368" builtinId="9" hidden="1"/>
    <cellStyle name="Gevolgde hyperlink" xfId="1370" builtinId="9" hidden="1"/>
    <cellStyle name="Gevolgde hyperlink" xfId="1372" builtinId="9" hidden="1"/>
    <cellStyle name="Gevolgde hyperlink" xfId="1374" builtinId="9" hidden="1"/>
    <cellStyle name="Gevolgde hyperlink" xfId="1376" builtinId="9" hidden="1"/>
    <cellStyle name="Gevolgde hyperlink" xfId="1378" builtinId="9" hidden="1"/>
    <cellStyle name="Gevolgde hyperlink" xfId="1380" builtinId="9" hidden="1"/>
    <cellStyle name="Gevolgde hyperlink" xfId="1382" builtinId="9" hidden="1"/>
    <cellStyle name="Gevolgde hyperlink" xfId="1384" builtinId="9" hidden="1"/>
    <cellStyle name="Gevolgde hyperlink" xfId="1386" builtinId="9" hidden="1"/>
    <cellStyle name="Gevolgde hyperlink" xfId="1388" builtinId="9" hidden="1"/>
    <cellStyle name="Gevolgde hyperlink" xfId="1390" builtinId="9" hidden="1"/>
    <cellStyle name="Gevolgde hyperlink" xfId="1392" builtinId="9" hidden="1"/>
    <cellStyle name="Gevolgde hyperlink" xfId="1394" builtinId="9" hidden="1"/>
    <cellStyle name="Gevolgde hyperlink" xfId="1396" builtinId="9" hidden="1"/>
    <cellStyle name="Gevolgde hyperlink" xfId="1398" builtinId="9" hidden="1"/>
    <cellStyle name="Gevolgde hyperlink" xfId="1400" builtinId="9" hidden="1"/>
    <cellStyle name="Gevolgde hyperlink" xfId="1402" builtinId="9" hidden="1"/>
    <cellStyle name="Gevolgde hyperlink" xfId="1404" builtinId="9" hidden="1"/>
    <cellStyle name="Gevolgde hyperlink" xfId="1406" builtinId="9" hidden="1"/>
    <cellStyle name="Gevolgde hyperlink" xfId="1408" builtinId="9" hidden="1"/>
    <cellStyle name="Gevolgde hyperlink" xfId="1410" builtinId="9" hidden="1"/>
    <cellStyle name="Gevolgde hyperlink" xfId="1412" builtinId="9" hidden="1"/>
    <cellStyle name="Gevolgde hyperlink" xfId="1414" builtinId="9" hidden="1"/>
    <cellStyle name="Gevolgde hyperlink" xfId="1416" builtinId="9" hidden="1"/>
    <cellStyle name="Gevolgde hyperlink" xfId="1418" builtinId="9" hidden="1"/>
    <cellStyle name="Gevolgde hyperlink" xfId="1420" builtinId="9" hidden="1"/>
    <cellStyle name="Gevolgde hyperlink" xfId="1422" builtinId="9" hidden="1"/>
    <cellStyle name="Gevolgde hyperlink" xfId="1424" builtinId="9" hidden="1"/>
    <cellStyle name="Gevolgde hyperlink" xfId="1426" builtinId="9" hidden="1"/>
    <cellStyle name="Gevolgde hyperlink" xfId="1428" builtinId="9" hidden="1"/>
    <cellStyle name="Gevolgde hyperlink" xfId="1430" builtinId="9" hidden="1"/>
    <cellStyle name="Gevolgde hyperlink" xfId="1432" builtinId="9" hidden="1"/>
    <cellStyle name="Gevolgde hyperlink" xfId="1434" builtinId="9" hidden="1"/>
    <cellStyle name="Gevolgde hyperlink" xfId="1436" builtinId="9" hidden="1"/>
    <cellStyle name="Gevolgde hyperlink" xfId="1438" builtinId="9" hidden="1"/>
    <cellStyle name="Gevolgde hyperlink" xfId="1440" builtinId="9" hidden="1"/>
    <cellStyle name="Gevolgde hyperlink" xfId="1442" builtinId="9" hidden="1"/>
    <cellStyle name="Gevolgde hyperlink" xfId="1444" builtinId="9" hidden="1"/>
    <cellStyle name="Gevolgde hyperlink" xfId="1446" builtinId="9" hidden="1"/>
    <cellStyle name="Gevolgde hyperlink" xfId="1448" builtinId="9" hidden="1"/>
    <cellStyle name="Gevolgde hyperlink" xfId="1450" builtinId="9" hidden="1"/>
    <cellStyle name="Gevolgde hyperlink" xfId="1452" builtinId="9" hidden="1"/>
    <cellStyle name="Gevolgde hyperlink" xfId="1454" builtinId="9" hidden="1"/>
    <cellStyle name="Gevolgde hyperlink" xfId="1456" builtinId="9" hidden="1"/>
    <cellStyle name="Gevolgde hyperlink" xfId="1458" builtinId="9" hidden="1"/>
    <cellStyle name="Gevolgde hyperlink" xfId="1460" builtinId="9" hidden="1"/>
    <cellStyle name="Gevolgde hyperlink" xfId="1462" builtinId="9" hidden="1"/>
    <cellStyle name="Gevolgde hyperlink" xfId="1464" builtinId="9" hidden="1"/>
    <cellStyle name="Gevolgde hyperlink" xfId="1466" builtinId="9" hidden="1"/>
    <cellStyle name="Gevolgde hyperlink" xfId="1468" builtinId="9" hidden="1"/>
    <cellStyle name="Gevolgde hyperlink" xfId="1470" builtinId="9" hidden="1"/>
    <cellStyle name="Gevolgde hyperlink" xfId="1472" builtinId="9" hidden="1"/>
    <cellStyle name="Gevolgde hyperlink" xfId="1474" builtinId="9" hidden="1"/>
    <cellStyle name="Gevolgde hyperlink" xfId="1476" builtinId="9" hidden="1"/>
    <cellStyle name="Gevolgde hyperlink" xfId="1478" builtinId="9" hidden="1"/>
    <cellStyle name="Gevolgde hyperlink" xfId="1480" builtinId="9" hidden="1"/>
    <cellStyle name="Gevolgde hyperlink" xfId="1482" builtinId="9" hidden="1"/>
    <cellStyle name="Gevolgde hyperlink" xfId="1484" builtinId="9" hidden="1"/>
    <cellStyle name="Gevolgde hyperlink" xfId="1486" builtinId="9" hidden="1"/>
    <cellStyle name="Gevolgde hyperlink" xfId="1488" builtinId="9" hidden="1"/>
    <cellStyle name="Gevolgde hyperlink" xfId="1490" builtinId="9" hidden="1"/>
    <cellStyle name="Gevolgde hyperlink" xfId="1492" builtinId="9" hidden="1"/>
    <cellStyle name="Gevolgde hyperlink" xfId="1494" builtinId="9" hidden="1"/>
    <cellStyle name="Gevolgde hyperlink" xfId="1496" builtinId="9" hidden="1"/>
    <cellStyle name="Gevolgde hyperlink" xfId="1498" builtinId="9" hidden="1"/>
    <cellStyle name="Gevolgde hyperlink" xfId="1500" builtinId="9" hidden="1"/>
    <cellStyle name="Gevolgde hyperlink" xfId="1502" builtinId="9" hidden="1"/>
    <cellStyle name="Gevolgde hyperlink" xfId="1504" builtinId="9" hidden="1"/>
    <cellStyle name="Gevolgde hyperlink" xfId="1506" builtinId="9" hidden="1"/>
    <cellStyle name="Gevolgde hyperlink" xfId="1508" builtinId="9" hidden="1"/>
    <cellStyle name="Gevolgde hyperlink" xfId="1510" builtinId="9" hidden="1"/>
    <cellStyle name="Gevolgde hyperlink" xfId="1512" builtinId="9" hidden="1"/>
    <cellStyle name="Gevolgde hyperlink" xfId="1514" builtinId="9" hidden="1"/>
    <cellStyle name="Gevolgde hyperlink" xfId="1516" builtinId="9" hidden="1"/>
    <cellStyle name="Gevolgde hyperlink" xfId="1518" builtinId="9" hidden="1"/>
    <cellStyle name="Gevolgde hyperlink" xfId="1520" builtinId="9" hidden="1"/>
    <cellStyle name="Gevolgde hyperlink" xfId="1522" builtinId="9" hidden="1"/>
    <cellStyle name="Gevolgde hyperlink" xfId="1524" builtinId="9" hidden="1"/>
    <cellStyle name="Gevolgde hyperlink" xfId="1526" builtinId="9" hidden="1"/>
    <cellStyle name="Gevolgde hyperlink" xfId="1528" builtinId="9" hidden="1"/>
    <cellStyle name="Gevolgde hyperlink" xfId="1530" builtinId="9" hidden="1"/>
    <cellStyle name="Gevolgde hyperlink" xfId="1532" builtinId="9" hidden="1"/>
    <cellStyle name="Gevolgde hyperlink" xfId="1534" builtinId="9" hidden="1"/>
    <cellStyle name="Gevolgde hyperlink" xfId="1536" builtinId="9" hidden="1"/>
    <cellStyle name="Gevolgde hyperlink" xfId="1538" builtinId="9" hidden="1"/>
    <cellStyle name="Gevolgde hyperlink" xfId="1540" builtinId="9" hidden="1"/>
    <cellStyle name="Gevolgde hyperlink" xfId="1542" builtinId="9" hidden="1"/>
    <cellStyle name="Gevolgde hyperlink" xfId="1544" builtinId="9" hidden="1"/>
    <cellStyle name="Gevolgde hyperlink" xfId="1546" builtinId="9" hidden="1"/>
    <cellStyle name="Gevolgde hyperlink" xfId="1548" builtinId="9" hidden="1"/>
    <cellStyle name="Gevolgde hyperlink" xfId="1550" builtinId="9" hidden="1"/>
    <cellStyle name="Gevolgde hyperlink" xfId="1552" builtinId="9" hidden="1"/>
    <cellStyle name="Gevolgde hyperlink" xfId="1554" builtinId="9" hidden="1"/>
    <cellStyle name="Gevolgde hyperlink" xfId="1556" builtinId="9" hidden="1"/>
    <cellStyle name="Gevolgde hyperlink" xfId="1558" builtinId="9" hidden="1"/>
    <cellStyle name="Gevolgde hyperlink" xfId="1560" builtinId="9" hidden="1"/>
    <cellStyle name="Gevolgde hyperlink" xfId="1562" builtinId="9" hidden="1"/>
    <cellStyle name="Gevolgde hyperlink" xfId="1564" builtinId="9" hidden="1"/>
    <cellStyle name="Gevolgde hyperlink" xfId="1566" builtinId="9" hidden="1"/>
    <cellStyle name="Gevolgde hyperlink" xfId="1568" builtinId="9" hidden="1"/>
    <cellStyle name="Gevolgde hyperlink" xfId="1570" builtinId="9" hidden="1"/>
    <cellStyle name="Gevolgde hyperlink" xfId="1572" builtinId="9" hidden="1"/>
    <cellStyle name="Gevolgde hyperlink" xfId="1574" builtinId="9" hidden="1"/>
    <cellStyle name="Gevolgde hyperlink" xfId="1576" builtinId="9" hidden="1"/>
    <cellStyle name="Gevolgde hyperlink" xfId="1578" builtinId="9" hidden="1"/>
    <cellStyle name="Gevolgde hyperlink" xfId="1580" builtinId="9" hidden="1"/>
    <cellStyle name="Gevolgde hyperlink" xfId="1582" builtinId="9" hidden="1"/>
    <cellStyle name="Gevolgde hyperlink" xfId="1584" builtinId="9" hidden="1"/>
    <cellStyle name="Gevolgde hyperlink" xfId="1586" builtinId="9" hidden="1"/>
    <cellStyle name="Gevolgde hyperlink" xfId="1588" builtinId="9" hidden="1"/>
    <cellStyle name="Gevolgde hyperlink" xfId="1590" builtinId="9" hidden="1"/>
    <cellStyle name="Gevolgde hyperlink" xfId="1592" builtinId="9" hidden="1"/>
    <cellStyle name="Gevolgde hyperlink" xfId="1594" builtinId="9" hidden="1"/>
    <cellStyle name="Gevolgde hyperlink" xfId="1596" builtinId="9" hidden="1"/>
    <cellStyle name="Gevolgde hyperlink" xfId="1598" builtinId="9" hidden="1"/>
    <cellStyle name="Gevolgde hyperlink" xfId="1600" builtinId="9" hidden="1"/>
    <cellStyle name="Gevolgde hyperlink" xfId="1602" builtinId="9" hidden="1"/>
    <cellStyle name="Gevolgde hyperlink" xfId="1604" builtinId="9" hidden="1"/>
    <cellStyle name="Gevolgde hyperlink" xfId="1606" builtinId="9" hidden="1"/>
    <cellStyle name="Gevolgde hyperlink" xfId="1608" builtinId="9" hidden="1"/>
    <cellStyle name="Gevolgde hyperlink" xfId="1610" builtinId="9" hidden="1"/>
    <cellStyle name="Gevolgde hyperlink" xfId="1612" builtinId="9" hidden="1"/>
    <cellStyle name="Gevolgde hyperlink" xfId="1614" builtinId="9" hidden="1"/>
    <cellStyle name="Gevolgde hyperlink" xfId="1616" builtinId="9" hidden="1"/>
    <cellStyle name="Gevolgde hyperlink" xfId="1618" builtinId="9" hidden="1"/>
    <cellStyle name="Gevolgde hyperlink" xfId="1620" builtinId="9" hidden="1"/>
    <cellStyle name="Gevolgde hyperlink" xfId="1622" builtinId="9" hidden="1"/>
    <cellStyle name="Gevolgde hyperlink" xfId="1624" builtinId="9" hidden="1"/>
    <cellStyle name="Gevolgde hyperlink" xfId="1626" builtinId="9" hidden="1"/>
    <cellStyle name="Gevolgde hyperlink" xfId="1628" builtinId="9" hidden="1"/>
    <cellStyle name="Gevolgde hyperlink" xfId="1630" builtinId="9" hidden="1"/>
    <cellStyle name="Gevolgde hyperlink" xfId="1632" builtinId="9" hidden="1"/>
    <cellStyle name="Gevolgde hyperlink" xfId="1634" builtinId="9" hidden="1"/>
    <cellStyle name="Gevolgde hyperlink" xfId="1636" builtinId="9" hidden="1"/>
    <cellStyle name="Gevolgde hyperlink" xfId="1638" builtinId="9" hidden="1"/>
    <cellStyle name="Gevolgde hyperlink" xfId="1640" builtinId="9" hidden="1"/>
    <cellStyle name="Gevolgde hyperlink" xfId="1642" builtinId="9" hidden="1"/>
    <cellStyle name="Gevolgde hyperlink" xfId="1644" builtinId="9" hidden="1"/>
    <cellStyle name="Gevolgde hyperlink" xfId="1646" builtinId="9" hidden="1"/>
    <cellStyle name="Gevolgde hyperlink" xfId="1648" builtinId="9" hidden="1"/>
    <cellStyle name="Gevolgde hyperlink" xfId="1650" builtinId="9" hidden="1"/>
    <cellStyle name="Gevolgde hyperlink" xfId="1652" builtinId="9" hidden="1"/>
    <cellStyle name="Gevolgde hyperlink" xfId="1654" builtinId="9" hidden="1"/>
    <cellStyle name="Gevolgde hyperlink" xfId="1656" builtinId="9" hidden="1"/>
    <cellStyle name="Gevolgde hyperlink" xfId="1658" builtinId="9" hidden="1"/>
    <cellStyle name="Gevolgde hyperlink" xfId="1660" builtinId="9" hidden="1"/>
    <cellStyle name="Gevolgde hyperlink" xfId="1662" builtinId="9" hidden="1"/>
    <cellStyle name="Gevolgde hyperlink" xfId="1664" builtinId="9" hidden="1"/>
    <cellStyle name="Gevolgde hyperlink" xfId="1666" builtinId="9" hidden="1"/>
    <cellStyle name="Gevolgde hyperlink" xfId="1668" builtinId="9" hidden="1"/>
    <cellStyle name="Gevolgde hyperlink" xfId="1670" builtinId="9" hidden="1"/>
    <cellStyle name="Gevolgde hyperlink" xfId="1672" builtinId="9" hidden="1"/>
    <cellStyle name="Gevolgde hyperlink" xfId="1674" builtinId="9" hidden="1"/>
    <cellStyle name="Gevolgde hyperlink" xfId="1676" builtinId="9" hidden="1"/>
    <cellStyle name="Gevolgde hyperlink" xfId="1678" builtinId="9" hidden="1"/>
    <cellStyle name="Gevolgde hyperlink" xfId="1680" builtinId="9" hidden="1"/>
    <cellStyle name="Gevolgde hyperlink" xfId="1682" builtinId="9" hidden="1"/>
    <cellStyle name="Gevolgde hyperlink" xfId="1684" builtinId="9" hidden="1"/>
    <cellStyle name="Gevolgde hyperlink" xfId="1686" builtinId="9" hidden="1"/>
    <cellStyle name="Gevolgde hyperlink" xfId="1688" builtinId="9" hidden="1"/>
    <cellStyle name="Gevolgde hyperlink" xfId="1690" builtinId="9" hidden="1"/>
    <cellStyle name="Gevolgde hyperlink" xfId="1692" builtinId="9" hidden="1"/>
    <cellStyle name="Gevolgde hyperlink" xfId="1694" builtinId="9" hidden="1"/>
    <cellStyle name="Gevolgde hyperlink" xfId="1696" builtinId="9" hidden="1"/>
    <cellStyle name="Gevolgde hyperlink" xfId="1698" builtinId="9" hidden="1"/>
    <cellStyle name="Gevolgde hyperlink" xfId="1700" builtinId="9" hidden="1"/>
    <cellStyle name="Gevolgde hyperlink" xfId="1702" builtinId="9" hidden="1"/>
    <cellStyle name="Gevolgde hyperlink" xfId="1704" builtinId="9" hidden="1"/>
    <cellStyle name="Gevolgde hyperlink" xfId="1706" builtinId="9" hidden="1"/>
    <cellStyle name="Gevolgde hyperlink" xfId="1708" builtinId="9" hidden="1"/>
    <cellStyle name="Gevolgde hyperlink" xfId="1710" builtinId="9" hidden="1"/>
    <cellStyle name="Gevolgde hyperlink" xfId="1712" builtinId="9" hidden="1"/>
    <cellStyle name="Gevolgde hyperlink" xfId="1714" builtinId="9" hidden="1"/>
    <cellStyle name="Gevolgde hyperlink" xfId="1716" builtinId="9" hidden="1"/>
    <cellStyle name="Gevolgde hyperlink" xfId="1718" builtinId="9" hidden="1"/>
    <cellStyle name="Gevolgde hyperlink" xfId="1720" builtinId="9" hidden="1"/>
    <cellStyle name="Gevolgde hyperlink" xfId="1722" builtinId="9" hidden="1"/>
    <cellStyle name="Gevolgde hyperlink" xfId="1724" builtinId="9" hidden="1"/>
    <cellStyle name="Gevolgde hyperlink" xfId="1726" builtinId="9" hidden="1"/>
    <cellStyle name="Gevolgde hyperlink" xfId="1728" builtinId="9" hidden="1"/>
    <cellStyle name="Gevolgde hyperlink" xfId="1730" builtinId="9" hidden="1"/>
    <cellStyle name="Gevolgde hyperlink" xfId="1732" builtinId="9" hidden="1"/>
    <cellStyle name="Gevolgde hyperlink" xfId="1734" builtinId="9" hidden="1"/>
    <cellStyle name="Gevolgde hyperlink" xfId="1736" builtinId="9" hidden="1"/>
    <cellStyle name="Gevolgde hyperlink" xfId="1738" builtinId="9" hidden="1"/>
    <cellStyle name="Gevolgde hyperlink" xfId="1740" builtinId="9" hidden="1"/>
    <cellStyle name="Gevolgde hyperlink" xfId="1742" builtinId="9" hidden="1"/>
    <cellStyle name="Gevolgde hyperlink" xfId="1744" builtinId="9" hidden="1"/>
    <cellStyle name="Gevolgde hyperlink" xfId="1746" builtinId="9" hidden="1"/>
    <cellStyle name="Gevolgde hyperlink" xfId="1748" builtinId="9" hidden="1"/>
    <cellStyle name="Gevolgde hyperlink" xfId="1750" builtinId="9" hidden="1"/>
    <cellStyle name="Gevolgde hyperlink" xfId="1752" builtinId="9" hidden="1"/>
    <cellStyle name="Gevolgde hyperlink" xfId="1754" builtinId="9" hidden="1"/>
    <cellStyle name="Gevolgde hyperlink" xfId="1756" builtinId="9" hidden="1"/>
    <cellStyle name="Gevolgde hyperlink" xfId="1758" builtinId="9" hidden="1"/>
    <cellStyle name="Gevolgde hyperlink" xfId="1760" builtinId="9" hidden="1"/>
    <cellStyle name="Gevolgde hyperlink" xfId="1762" builtinId="9" hidden="1"/>
    <cellStyle name="Gevolgde hyperlink" xfId="1764" builtinId="9" hidden="1"/>
    <cellStyle name="Gevolgde hyperlink" xfId="1766" builtinId="9" hidden="1"/>
    <cellStyle name="Gevolgde hyperlink" xfId="1768" builtinId="9" hidden="1"/>
    <cellStyle name="Gevolgde hyperlink" xfId="1770" builtinId="9" hidden="1"/>
    <cellStyle name="Gevolgde hyperlink" xfId="1772" builtinId="9" hidden="1"/>
    <cellStyle name="Gevolgde hyperlink" xfId="1774" builtinId="9" hidden="1"/>
    <cellStyle name="Gevolgde hyperlink" xfId="1776" builtinId="9" hidden="1"/>
    <cellStyle name="Gevolgde hyperlink" xfId="1778" builtinId="9" hidden="1"/>
    <cellStyle name="Gevolgde hyperlink" xfId="1780" builtinId="9" hidden="1"/>
    <cellStyle name="Gevolgde hyperlink" xfId="1782" builtinId="9" hidden="1"/>
    <cellStyle name="Gevolgde hyperlink" xfId="1784" builtinId="9" hidden="1"/>
    <cellStyle name="Gevolgde hyperlink" xfId="1786" builtinId="9" hidden="1"/>
    <cellStyle name="Gevolgde hyperlink" xfId="1788" builtinId="9" hidden="1"/>
    <cellStyle name="Gevolgde hyperlink" xfId="1790" builtinId="9" hidden="1"/>
    <cellStyle name="Gevolgde hyperlink" xfId="1792" builtinId="9" hidden="1"/>
    <cellStyle name="Gevolgde hyperlink" xfId="1794" builtinId="9" hidden="1"/>
    <cellStyle name="Gevolgde hyperlink" xfId="1796" builtinId="9" hidden="1"/>
    <cellStyle name="Gevolgde hyperlink" xfId="1798" builtinId="9" hidden="1"/>
    <cellStyle name="Gevolgde hyperlink" xfId="1800" builtinId="9" hidden="1"/>
    <cellStyle name="Gevolgde hyperlink" xfId="1802" builtinId="9" hidden="1"/>
    <cellStyle name="Gevolgde hyperlink" xfId="1804" builtinId="9" hidden="1"/>
    <cellStyle name="Gevolgde hyperlink" xfId="1806" builtinId="9" hidden="1"/>
    <cellStyle name="Gevolgde hyperlink" xfId="1808" builtinId="9" hidden="1"/>
    <cellStyle name="Gevolgde hyperlink" xfId="1810" builtinId="9" hidden="1"/>
    <cellStyle name="Gevolgde hyperlink" xfId="1812" builtinId="9" hidden="1"/>
    <cellStyle name="Gevolgde hyperlink" xfId="1814" builtinId="9" hidden="1"/>
    <cellStyle name="Gevolgde hyperlink" xfId="1816" builtinId="9" hidden="1"/>
    <cellStyle name="Gevolgde hyperlink" xfId="1818" builtinId="9" hidden="1"/>
    <cellStyle name="Gevolgde hyperlink" xfId="1820" builtinId="9" hidden="1"/>
    <cellStyle name="Gevolgde hyperlink" xfId="1822" builtinId="9" hidden="1"/>
    <cellStyle name="Gevolgde hyperlink" xfId="1824" builtinId="9" hidden="1"/>
    <cellStyle name="Gevolgde hyperlink" xfId="1826" builtinId="9" hidden="1"/>
    <cellStyle name="Gevolgde hyperlink" xfId="1828" builtinId="9" hidden="1"/>
    <cellStyle name="Gevolgde hyperlink" xfId="1830" builtinId="9" hidden="1"/>
    <cellStyle name="Gevolgde hyperlink" xfId="1832" builtinId="9" hidden="1"/>
    <cellStyle name="Gevolgde hyperlink" xfId="1834" builtinId="9" hidden="1"/>
    <cellStyle name="Gevolgde hyperlink" xfId="1836" builtinId="9" hidden="1"/>
    <cellStyle name="Gevolgde hyperlink" xfId="1838" builtinId="9" hidden="1"/>
    <cellStyle name="Gevolgde hyperlink" xfId="1840" builtinId="9" hidden="1"/>
    <cellStyle name="Gevolgde hyperlink" xfId="1842" builtinId="9" hidden="1"/>
    <cellStyle name="Gevolgde hyperlink" xfId="1844" builtinId="9" hidden="1"/>
    <cellStyle name="Gevolgde hyperlink" xfId="1846" builtinId="9" hidden="1"/>
    <cellStyle name="Gevolgde hyperlink" xfId="1848" builtinId="9" hidden="1"/>
    <cellStyle name="Gevolgde hyperlink" xfId="1850" builtinId="9" hidden="1"/>
    <cellStyle name="Gevolgde hyperlink" xfId="1852" builtinId="9" hidden="1"/>
    <cellStyle name="Gevolgde hyperlink" xfId="1854" builtinId="9" hidden="1"/>
    <cellStyle name="Gevolgde hyperlink" xfId="1856" builtinId="9" hidden="1"/>
    <cellStyle name="Gevolgde hyperlink" xfId="1858" builtinId="9" hidden="1"/>
    <cellStyle name="Gevolgde hyperlink" xfId="1860" builtinId="9" hidden="1"/>
    <cellStyle name="Gevolgde hyperlink" xfId="1862" builtinId="9" hidden="1"/>
    <cellStyle name="Gevolgde hyperlink" xfId="1864" builtinId="9" hidden="1"/>
    <cellStyle name="Gevolgde hyperlink" xfId="1866" builtinId="9" hidden="1"/>
    <cellStyle name="Gevolgde hyperlink" xfId="1868" builtinId="9" hidden="1"/>
    <cellStyle name="Gevolgde hyperlink" xfId="1870" builtinId="9" hidden="1"/>
    <cellStyle name="Gevolgde hyperlink" xfId="1872" builtinId="9" hidden="1"/>
    <cellStyle name="Gevolgde hyperlink" xfId="1874" builtinId="9" hidden="1"/>
    <cellStyle name="Gevolgde hyperlink" xfId="1876" builtinId="9" hidden="1"/>
    <cellStyle name="Gevolgde hyperlink" xfId="1878" builtinId="9" hidden="1"/>
    <cellStyle name="Gevolgde hyperlink" xfId="1880" builtinId="9" hidden="1"/>
    <cellStyle name="Gevolgde hyperlink" xfId="1882" builtinId="9" hidden="1"/>
    <cellStyle name="Gevolgde hyperlink" xfId="1884" builtinId="9" hidden="1"/>
    <cellStyle name="Gevolgde hyperlink" xfId="1886" builtinId="9" hidden="1"/>
    <cellStyle name="Gevolgde hyperlink" xfId="1888" builtinId="9" hidden="1"/>
    <cellStyle name="Gevolgde hyperlink" xfId="1890" builtinId="9" hidden="1"/>
    <cellStyle name="Gevolgde hyperlink" xfId="1892" builtinId="9" hidden="1"/>
    <cellStyle name="Gevolgde hyperlink" xfId="1894" builtinId="9" hidden="1"/>
    <cellStyle name="Gevolgde hyperlink" xfId="1896" builtinId="9" hidden="1"/>
    <cellStyle name="Gevolgde hyperlink" xfId="1898" builtinId="9" hidden="1"/>
    <cellStyle name="Gevolgde hyperlink" xfId="1900" builtinId="9" hidden="1"/>
    <cellStyle name="Gevolgde hyperlink" xfId="1902" builtinId="9" hidden="1"/>
    <cellStyle name="Gevolgde hyperlink" xfId="1904" builtinId="9" hidden="1"/>
    <cellStyle name="Gevolgde hyperlink" xfId="1906" builtinId="9" hidden="1"/>
    <cellStyle name="Gevolgde hyperlink" xfId="1908" builtinId="9" hidden="1"/>
    <cellStyle name="Gevolgde hyperlink" xfId="1910" builtinId="9" hidden="1"/>
    <cellStyle name="Gevolgde hyperlink" xfId="1912" builtinId="9" hidden="1"/>
    <cellStyle name="Gevolgde hyperlink" xfId="1914" builtinId="9" hidden="1"/>
    <cellStyle name="Gevolgde hyperlink" xfId="1916" builtinId="9" hidden="1"/>
    <cellStyle name="Gevolgde hyperlink" xfId="1918" builtinId="9" hidden="1"/>
    <cellStyle name="Gevolgde hyperlink" xfId="1920" builtinId="9" hidden="1"/>
    <cellStyle name="Gevolgde hyperlink" xfId="1922" builtinId="9" hidden="1"/>
    <cellStyle name="Gevolgde hyperlink" xfId="1924" builtinId="9" hidden="1"/>
    <cellStyle name="Gevolgde hyperlink" xfId="1926" builtinId="9" hidden="1"/>
    <cellStyle name="Gevolgde hyperlink" xfId="1928" builtinId="9" hidden="1"/>
    <cellStyle name="Gevolgde hyperlink" xfId="1930" builtinId="9" hidden="1"/>
    <cellStyle name="Gevolgde hyperlink" xfId="1932" builtinId="9" hidden="1"/>
    <cellStyle name="Gevolgde hyperlink" xfId="1934" builtinId="9" hidden="1"/>
    <cellStyle name="Gevolgde hyperlink" xfId="1936" builtinId="9" hidden="1"/>
    <cellStyle name="Gevolgde hyperlink" xfId="1938" builtinId="9" hidden="1"/>
    <cellStyle name="Gevolgde hyperlink" xfId="1940" builtinId="9" hidden="1"/>
    <cellStyle name="Gevolgde hyperlink" xfId="1942" builtinId="9" hidden="1"/>
    <cellStyle name="Gevolgde hyperlink" xfId="1944" builtinId="9" hidden="1"/>
    <cellStyle name="Gevolgde hyperlink" xfId="1946" builtinId="9" hidden="1"/>
    <cellStyle name="Gevolgde hyperlink" xfId="1948" builtinId="9" hidden="1"/>
    <cellStyle name="Gevolgde hyperlink" xfId="1950" builtinId="9" hidden="1"/>
    <cellStyle name="Gevolgde hyperlink" xfId="1952" builtinId="9" hidden="1"/>
    <cellStyle name="Gevolgde hyperlink" xfId="1954" builtinId="9" hidden="1"/>
    <cellStyle name="Gevolgde hyperlink" xfId="1956" builtinId="9" hidden="1"/>
    <cellStyle name="Gevolgde hyperlink" xfId="1958" builtinId="9" hidden="1"/>
    <cellStyle name="Gevolgde hyperlink" xfId="1960" builtinId="9" hidden="1"/>
    <cellStyle name="Gevolgde hyperlink" xfId="1962" builtinId="9" hidden="1"/>
    <cellStyle name="Gevolgde hyperlink" xfId="1964" builtinId="9" hidden="1"/>
    <cellStyle name="Gevolgde hyperlink" xfId="1966" builtinId="9" hidden="1"/>
    <cellStyle name="Gevolgde hyperlink" xfId="1968" builtinId="9" hidden="1"/>
    <cellStyle name="Gevolgde hyperlink" xfId="1970" builtinId="9" hidden="1"/>
    <cellStyle name="Gevolgde hyperlink" xfId="1972" builtinId="9" hidden="1"/>
    <cellStyle name="Gevolgde hyperlink" xfId="1974" builtinId="9" hidden="1"/>
    <cellStyle name="Gevolgde hyperlink" xfId="1976" builtinId="9" hidden="1"/>
    <cellStyle name="Gevolgde hyperlink" xfId="1978" builtinId="9" hidden="1"/>
    <cellStyle name="Gevolgde hyperlink" xfId="1980" builtinId="9" hidden="1"/>
    <cellStyle name="Gevolgde hyperlink" xfId="1982" builtinId="9" hidden="1"/>
    <cellStyle name="Gevolgde hyperlink" xfId="1984" builtinId="9" hidden="1"/>
    <cellStyle name="Gevolgde hyperlink" xfId="1986" builtinId="9" hidden="1"/>
    <cellStyle name="Gevolgde hyperlink" xfId="1988" builtinId="9" hidden="1"/>
    <cellStyle name="Gevolgde hyperlink" xfId="1990" builtinId="9" hidden="1"/>
    <cellStyle name="Gevolgde hyperlink" xfId="1992" builtinId="9" hidden="1"/>
    <cellStyle name="Gevolgde hyperlink" xfId="1994" builtinId="9" hidden="1"/>
    <cellStyle name="Gevolgde hyperlink" xfId="1996" builtinId="9" hidden="1"/>
    <cellStyle name="Gevolgde hyperlink" xfId="1998" builtinId="9" hidden="1"/>
    <cellStyle name="Gevolgde hyperlink" xfId="2000" builtinId="9" hidden="1"/>
    <cellStyle name="Gevolgde hyperlink" xfId="2002" builtinId="9" hidden="1"/>
    <cellStyle name="Gevolgde hyperlink" xfId="2004" builtinId="9" hidden="1"/>
    <cellStyle name="Gevolgde hyperlink" xfId="2006" builtinId="9" hidden="1"/>
    <cellStyle name="Gevolgde hyperlink" xfId="2008" builtinId="9" hidden="1"/>
    <cellStyle name="Gevolgde hyperlink" xfId="2010" builtinId="9" hidden="1"/>
    <cellStyle name="Gevolgde hyperlink" xfId="2012" builtinId="9" hidden="1"/>
    <cellStyle name="Gevolgde hyperlink" xfId="2014" builtinId="9" hidden="1"/>
    <cellStyle name="Gevolgde hyperlink" xfId="2016" builtinId="9" hidden="1"/>
    <cellStyle name="Gevolgde hyperlink" xfId="2018" builtinId="9" hidden="1"/>
    <cellStyle name="Gevolgde hyperlink" xfId="2020" builtinId="9" hidden="1"/>
    <cellStyle name="Gevolgde hyperlink" xfId="2022" builtinId="9" hidden="1"/>
    <cellStyle name="Gevolgde hyperlink" xfId="2024" builtinId="9" hidden="1"/>
    <cellStyle name="Gevolgde hyperlink" xfId="2026" builtinId="9" hidden="1"/>
    <cellStyle name="Gevolgde hyperlink" xfId="2028" builtinId="9" hidden="1"/>
    <cellStyle name="Gevolgde hyperlink" xfId="2030" builtinId="9" hidden="1"/>
    <cellStyle name="Gevolgde hyperlink" xfId="2032" builtinId="9" hidden="1"/>
    <cellStyle name="Gevolgde hyperlink" xfId="2034" builtinId="9" hidden="1"/>
    <cellStyle name="Gevolgde hyperlink" xfId="2036" builtinId="9" hidden="1"/>
    <cellStyle name="Gevolgde hyperlink" xfId="2038" builtinId="9" hidden="1"/>
    <cellStyle name="Gevolgde hyperlink" xfId="2040" builtinId="9" hidden="1"/>
    <cellStyle name="Gevolgde hyperlink" xfId="2042" builtinId="9" hidden="1"/>
    <cellStyle name="Gevolgde hyperlink" xfId="2044" builtinId="9" hidden="1"/>
    <cellStyle name="Gevolgde hyperlink" xfId="2046" builtinId="9" hidden="1"/>
    <cellStyle name="Gevolgde hyperlink" xfId="2048" builtinId="9" hidden="1"/>
    <cellStyle name="Gevolgde hyperlink" xfId="2050" builtinId="9" hidden="1"/>
    <cellStyle name="Gevolgde hyperlink" xfId="2052" builtinId="9" hidden="1"/>
    <cellStyle name="Gevolgde hyperlink" xfId="2054" builtinId="9" hidden="1"/>
    <cellStyle name="Gevolgde hyperlink" xfId="2056" builtinId="9" hidden="1"/>
    <cellStyle name="Gevolgde hyperlink" xfId="2058" builtinId="9" hidden="1"/>
    <cellStyle name="Gevolgde hyperlink" xfId="2060" builtinId="9" hidden="1"/>
    <cellStyle name="Gevolgde hyperlink" xfId="2062" builtinId="9" hidden="1"/>
    <cellStyle name="Gevolgde hyperlink" xfId="2064" builtinId="9" hidden="1"/>
    <cellStyle name="Gevolgde hyperlink" xfId="2066" builtinId="9" hidden="1"/>
    <cellStyle name="Gevolgde hyperlink" xfId="2068" builtinId="9" hidden="1"/>
    <cellStyle name="Gevolgde hyperlink" xfId="2070" builtinId="9" hidden="1"/>
    <cellStyle name="Gevolgde hyperlink" xfId="2072" builtinId="9" hidden="1"/>
    <cellStyle name="Gevolgde hyperlink" xfId="2074" builtinId="9" hidden="1"/>
    <cellStyle name="Gevolgde hyperlink" xfId="2076" builtinId="9" hidden="1"/>
    <cellStyle name="Gevolgde hyperlink" xfId="2078" builtinId="9" hidden="1"/>
    <cellStyle name="Gevolgde hyperlink" xfId="2080" builtinId="9" hidden="1"/>
    <cellStyle name="Gevolgde hyperlink" xfId="2082" builtinId="9" hidden="1"/>
    <cellStyle name="Gevolgde hyperlink" xfId="2084" builtinId="9" hidden="1"/>
    <cellStyle name="Gevolgde hyperlink" xfId="2086" builtinId="9" hidden="1"/>
    <cellStyle name="Gevolgde hyperlink" xfId="2088" builtinId="9" hidden="1"/>
    <cellStyle name="Gevolgde hyperlink" xfId="2090" builtinId="9" hidden="1"/>
    <cellStyle name="Gevolgde hyperlink" xfId="2092" builtinId="9" hidden="1"/>
    <cellStyle name="Gevolgde hyperlink" xfId="2094" builtinId="9" hidden="1"/>
    <cellStyle name="Gevolgde hyperlink" xfId="2096" builtinId="9" hidden="1"/>
    <cellStyle name="Gevolgde hyperlink" xfId="2098" builtinId="9" hidden="1"/>
    <cellStyle name="Gevolgde hyperlink" xfId="2100" builtinId="9" hidden="1"/>
    <cellStyle name="Gevolgde hyperlink" xfId="2102" builtinId="9" hidden="1"/>
    <cellStyle name="Gevolgde hyperlink" xfId="2104" builtinId="9" hidden="1"/>
    <cellStyle name="Gevolgde hyperlink" xfId="2106" builtinId="9" hidden="1"/>
    <cellStyle name="Gevolgde hyperlink" xfId="2108" builtinId="9" hidden="1"/>
    <cellStyle name="Gevolgde hyperlink" xfId="2110" builtinId="9" hidden="1"/>
    <cellStyle name="Gevolgde hyperlink" xfId="2112" builtinId="9" hidden="1"/>
    <cellStyle name="Gevolgde hyperlink" xfId="2114" builtinId="9" hidden="1"/>
    <cellStyle name="Gevolgde hyperlink" xfId="2116" builtinId="9" hidden="1"/>
    <cellStyle name="Gevolgde hyperlink" xfId="2118" builtinId="9" hidden="1"/>
    <cellStyle name="Gevolgde hyperlink" xfId="2120" builtinId="9" hidden="1"/>
    <cellStyle name="Gevolgde hyperlink" xfId="2122" builtinId="9" hidden="1"/>
    <cellStyle name="Gevolgde hyperlink" xfId="2124" builtinId="9" hidden="1"/>
    <cellStyle name="Gevolgde hyperlink" xfId="2126" builtinId="9" hidden="1"/>
    <cellStyle name="Gevolgde hyperlink" xfId="2128" builtinId="9" hidden="1"/>
    <cellStyle name="Gevolgde hyperlink" xfId="2130" builtinId="9" hidden="1"/>
    <cellStyle name="Gevolgde hyperlink" xfId="2132" builtinId="9" hidden="1"/>
    <cellStyle name="Gevolgde hyperlink" xfId="2134" builtinId="9" hidden="1"/>
    <cellStyle name="Gevolgde hyperlink" xfId="2136" builtinId="9" hidden="1"/>
    <cellStyle name="Gevolgde hyperlink" xfId="2138" builtinId="9" hidden="1"/>
    <cellStyle name="Gevolgde hyperlink" xfId="2140" builtinId="9" hidden="1"/>
    <cellStyle name="Gevolgde hyperlink" xfId="2142" builtinId="9" hidden="1"/>
    <cellStyle name="Gevolgde hyperlink" xfId="2144" builtinId="9" hidden="1"/>
    <cellStyle name="Gevolgde hyperlink" xfId="2146" builtinId="9" hidden="1"/>
    <cellStyle name="Gevolgde hyperlink" xfId="2148" builtinId="9" hidden="1"/>
    <cellStyle name="Gevolgde hyperlink" xfId="2150" builtinId="9" hidden="1"/>
    <cellStyle name="Gevolgde hyperlink" xfId="2152" builtinId="9" hidden="1"/>
    <cellStyle name="Gevolgde hyperlink" xfId="2154" builtinId="9" hidden="1"/>
    <cellStyle name="Gevolgde hyperlink" xfId="2156" builtinId="9" hidden="1"/>
    <cellStyle name="Gevolgde hyperlink" xfId="2158" builtinId="9" hidden="1"/>
    <cellStyle name="Gevolgde hyperlink" xfId="2160" builtinId="9" hidden="1"/>
    <cellStyle name="Gevolgde hyperlink" xfId="2162" builtinId="9" hidden="1"/>
    <cellStyle name="Gevolgde hyperlink" xfId="2164" builtinId="9" hidden="1"/>
    <cellStyle name="Gevolgde hyperlink" xfId="2166" builtinId="9" hidden="1"/>
    <cellStyle name="Gevolgde hyperlink" xfId="2168" builtinId="9" hidden="1"/>
    <cellStyle name="Gevolgde hyperlink" xfId="2171" builtinId="9" hidden="1"/>
    <cellStyle name="Gevolgde hyperlink" xfId="2173" builtinId="9" hidden="1"/>
    <cellStyle name="Gevolgde hyperlink" xfId="2175" builtinId="9" hidden="1"/>
    <cellStyle name="Gevolgde hyperlink" xfId="2177" builtinId="9" hidden="1"/>
    <cellStyle name="Gevolgde hyperlink" xfId="2179" builtinId="9" hidden="1"/>
    <cellStyle name="Gevolgde hyperlink" xfId="2181" builtinId="9" hidden="1"/>
    <cellStyle name="Gevolgde hyperlink" xfId="2183" builtinId="9" hidden="1"/>
    <cellStyle name="Gevolgde hyperlink" xfId="2185" builtinId="9" hidden="1"/>
    <cellStyle name="Gevolgde hyperlink" xfId="2187" builtinId="9" hidden="1"/>
    <cellStyle name="Gevolgde hyperlink" xfId="2189" builtinId="9" hidden="1"/>
    <cellStyle name="Gevolgde hyperlink" xfId="2191" builtinId="9" hidden="1"/>
    <cellStyle name="Gevolgde hyperlink" xfId="2193" builtinId="9" hidden="1"/>
    <cellStyle name="Gevolgde hyperlink" xfId="2195" builtinId="9" hidden="1"/>
    <cellStyle name="Gevolgde hyperlink" xfId="2197" builtinId="9" hidden="1"/>
    <cellStyle name="Gevolgde hyperlink" xfId="2199" builtinId="9" hidden="1"/>
    <cellStyle name="Gevolgde hyperlink" xfId="2201" builtinId="9" hidden="1"/>
    <cellStyle name="Gevolgde hyperlink" xfId="2203" builtinId="9" hidden="1"/>
    <cellStyle name="Gevolgde hyperlink" xfId="2205" builtinId="9" hidden="1"/>
    <cellStyle name="Gevolgde hyperlink" xfId="2207" builtinId="9" hidden="1"/>
    <cellStyle name="Gevolgde hyperlink" xfId="2209" builtinId="9" hidden="1"/>
    <cellStyle name="Gevolgde hyperlink" xfId="2211" builtinId="9" hidden="1"/>
    <cellStyle name="Gevolgde hyperlink" xfId="2213" builtinId="9" hidden="1"/>
    <cellStyle name="Gevolgde hyperlink" xfId="2215" builtinId="9" hidden="1"/>
    <cellStyle name="Gevolgde hyperlink" xfId="2217" builtinId="9" hidden="1"/>
    <cellStyle name="Gevolgde hyperlink" xfId="2219" builtinId="9" hidden="1"/>
    <cellStyle name="Gevolgde hyperlink" xfId="2221" builtinId="9" hidden="1"/>
    <cellStyle name="Gevolgde hyperlink" xfId="2223" builtinId="9" hidden="1"/>
    <cellStyle name="Gevolgde hyperlink" xfId="2225" builtinId="9" hidden="1"/>
    <cellStyle name="Gevolgde hyperlink" xfId="2227" builtinId="9" hidden="1"/>
    <cellStyle name="Gevolgde hyperlink" xfId="2229" builtinId="9" hidden="1"/>
    <cellStyle name="Gevolgde hyperlink" xfId="2231" builtinId="9" hidden="1"/>
    <cellStyle name="Gevolgde hyperlink" xfId="2233" builtinId="9" hidden="1"/>
    <cellStyle name="Gevolgde hyperlink" xfId="2235" builtinId="9" hidden="1"/>
    <cellStyle name="Gevolgde hyperlink" xfId="2237" builtinId="9" hidden="1"/>
    <cellStyle name="Gevolgde hyperlink" xfId="2239" builtinId="9" hidden="1"/>
    <cellStyle name="Gevolgde hyperlink" xfId="2241" builtinId="9" hidden="1"/>
    <cellStyle name="Gevolgde hyperlink" xfId="2243" builtinId="9" hidden="1"/>
    <cellStyle name="Gevolgde hyperlink" xfId="2245" builtinId="9" hidden="1"/>
    <cellStyle name="Gevolgde hyperlink" xfId="2247" builtinId="9" hidden="1"/>
    <cellStyle name="Gevolgde hyperlink" xfId="2249" builtinId="9" hidden="1"/>
    <cellStyle name="Gevolgde hyperlink" xfId="2251" builtinId="9" hidden="1"/>
    <cellStyle name="Gevolgde hyperlink" xfId="2253" builtinId="9" hidden="1"/>
    <cellStyle name="Gevolgde hyperlink" xfId="2255" builtinId="9" hidden="1"/>
    <cellStyle name="Gevolgde hyperlink" xfId="2257" builtinId="9" hidden="1"/>
    <cellStyle name="Gevolgde hyperlink" xfId="2259" builtinId="9" hidden="1"/>
    <cellStyle name="Gevolgde hyperlink" xfId="2261" builtinId="9" hidden="1"/>
    <cellStyle name="Gevolgde hyperlink" xfId="2263" builtinId="9" hidden="1"/>
    <cellStyle name="Gevolgde hyperlink" xfId="2265" builtinId="9" hidden="1"/>
    <cellStyle name="Gevolgde hyperlink" xfId="2267" builtinId="9" hidden="1"/>
    <cellStyle name="Gevolgde hyperlink" xfId="2269" builtinId="9" hidden="1"/>
    <cellStyle name="Gevolgde hyperlink" xfId="2271" builtinId="9" hidden="1"/>
    <cellStyle name="Gevolgde hyperlink" xfId="2273" builtinId="9" hidden="1"/>
    <cellStyle name="Gevolgde hyperlink" xfId="2275" builtinId="9" hidden="1"/>
    <cellStyle name="Gevolgde hyperlink" xfId="2277" builtinId="9" hidden="1"/>
    <cellStyle name="Gevolgde hyperlink" xfId="2279" builtinId="9" hidden="1"/>
    <cellStyle name="Gevolgde hyperlink" xfId="2281" builtinId="9" hidden="1"/>
    <cellStyle name="Gevolgde hyperlink" xfId="2283" builtinId="9" hidden="1"/>
    <cellStyle name="Gevolgde hyperlink" xfId="2285" builtinId="9" hidden="1"/>
    <cellStyle name="Gevolgde hyperlink" xfId="2287" builtinId="9" hidden="1"/>
    <cellStyle name="Gevolgde hyperlink" xfId="2289" builtinId="9" hidden="1"/>
    <cellStyle name="Gevolgde hyperlink" xfId="2291" builtinId="9" hidden="1"/>
    <cellStyle name="Gevolgde hyperlink" xfId="2293" builtinId="9" hidden="1"/>
    <cellStyle name="Gevolgde hyperlink" xfId="2295" builtinId="9" hidden="1"/>
    <cellStyle name="Gevolgde hyperlink" xfId="2297" builtinId="9" hidden="1"/>
    <cellStyle name="Gevolgde hyperlink" xfId="2299" builtinId="9" hidden="1"/>
    <cellStyle name="Gevolgde hyperlink" xfId="2301" builtinId="9" hidden="1"/>
    <cellStyle name="Gevolgde hyperlink" xfId="2303" builtinId="9" hidden="1"/>
    <cellStyle name="Gevolgde hyperlink" xfId="2305" builtinId="9" hidden="1"/>
    <cellStyle name="Gevolgde hyperlink" xfId="2307" builtinId="9" hidden="1"/>
    <cellStyle name="Gevolgde hyperlink" xfId="2309" builtinId="9" hidden="1"/>
    <cellStyle name="Gevolgde hyperlink" xfId="2311" builtinId="9" hidden="1"/>
    <cellStyle name="Gevolgde hyperlink" xfId="2313" builtinId="9" hidden="1"/>
    <cellStyle name="Gevolgde hyperlink" xfId="2315" builtinId="9" hidden="1"/>
    <cellStyle name="Gevolgde hyperlink" xfId="2317" builtinId="9" hidden="1"/>
    <cellStyle name="Gevolgde hyperlink" xfId="2319" builtinId="9" hidden="1"/>
    <cellStyle name="Gevolgde hyperlink" xfId="2321" builtinId="9" hidden="1"/>
    <cellStyle name="Gevolgde hyperlink" xfId="2323" builtinId="9" hidden="1"/>
    <cellStyle name="Gevolgde hyperlink" xfId="2325" builtinId="9" hidden="1"/>
    <cellStyle name="Gevolgde hyperlink" xfId="2327" builtinId="9" hidden="1"/>
    <cellStyle name="Gevolgde hyperlink" xfId="2329" builtinId="9" hidden="1"/>
    <cellStyle name="Gevolgde hyperlink" xfId="2331" builtinId="9" hidden="1"/>
    <cellStyle name="Gevolgde hyperlink" xfId="2333" builtinId="9" hidden="1"/>
    <cellStyle name="Gevolgde hyperlink" xfId="2335" builtinId="9" hidden="1"/>
    <cellStyle name="Gevolgde hyperlink" xfId="2337" builtinId="9" hidden="1"/>
    <cellStyle name="Gevolgde hyperlink" xfId="2339" builtinId="9" hidden="1"/>
    <cellStyle name="Gevolgde hyperlink" xfId="2341" builtinId="9" hidden="1"/>
    <cellStyle name="Gevolgde hyperlink" xfId="2343" builtinId="9" hidden="1"/>
    <cellStyle name="Gevolgde hyperlink" xfId="2345" builtinId="9" hidden="1"/>
    <cellStyle name="Gevolgde hyperlink" xfId="2347" builtinId="9" hidden="1"/>
    <cellStyle name="Gevolgde hyperlink" xfId="2349" builtinId="9" hidden="1"/>
    <cellStyle name="Gevolgde hyperlink" xfId="2351" builtinId="9" hidden="1"/>
    <cellStyle name="Gevolgde hyperlink" xfId="2353" builtinId="9" hidden="1"/>
    <cellStyle name="Gevolgde hyperlink" xfId="2355" builtinId="9" hidden="1"/>
    <cellStyle name="Gevolgde hyperlink" xfId="2357" builtinId="9" hidden="1"/>
    <cellStyle name="Gevolgde hyperlink" xfId="2359" builtinId="9" hidden="1"/>
    <cellStyle name="Gevolgde hyperlink" xfId="2361" builtinId="9" hidden="1"/>
    <cellStyle name="Gevolgde hyperlink" xfId="2363" builtinId="9" hidden="1"/>
    <cellStyle name="Gevolgde hyperlink" xfId="2365" builtinId="9" hidden="1"/>
    <cellStyle name="Gevolgde hyperlink" xfId="2367" builtinId="9" hidden="1"/>
    <cellStyle name="Gevolgde hyperlink" xfId="2369" builtinId="9" hidden="1"/>
    <cellStyle name="Gevolgde hyperlink" xfId="2371" builtinId="9" hidden="1"/>
    <cellStyle name="Gevolgde hyperlink" xfId="2373" builtinId="9" hidden="1"/>
    <cellStyle name="Gevolgde hyperlink" xfId="2375" builtinId="9" hidden="1"/>
    <cellStyle name="Gevolgde hyperlink" xfId="2377" builtinId="9" hidden="1"/>
    <cellStyle name="Gevolgde hyperlink" xfId="2379" builtinId="9" hidden="1"/>
    <cellStyle name="Gevolgde hyperlink" xfId="2381" builtinId="9" hidden="1"/>
    <cellStyle name="Gevolgde hyperlink" xfId="2383" builtinId="9" hidden="1"/>
    <cellStyle name="Gevolgde hyperlink" xfId="2385" builtinId="9" hidden="1"/>
    <cellStyle name="Gevolgde hyperlink" xfId="2387" builtinId="9" hidden="1"/>
    <cellStyle name="Gevolgde hyperlink" xfId="2389" builtinId="9" hidden="1"/>
    <cellStyle name="Gevolgde hyperlink" xfId="2391" builtinId="9" hidden="1"/>
    <cellStyle name="Gevolgde hyperlink" xfId="2393" builtinId="9" hidden="1"/>
    <cellStyle name="Gevolgde hyperlink" xfId="2395" builtinId="9" hidden="1"/>
    <cellStyle name="Gevolgde hyperlink" xfId="2397" builtinId="9" hidden="1"/>
    <cellStyle name="Gevolgde hyperlink" xfId="2399" builtinId="9" hidden="1"/>
    <cellStyle name="Gevolgde hyperlink" xfId="2401" builtinId="9" hidden="1"/>
    <cellStyle name="Gevolgde hyperlink" xfId="2403" builtinId="9" hidden="1"/>
    <cellStyle name="Gevolgde hyperlink" xfId="2405" builtinId="9" hidden="1"/>
    <cellStyle name="Gevolgde hyperlink" xfId="2407" builtinId="9" hidden="1"/>
    <cellStyle name="Gevolgde hyperlink" xfId="2409" builtinId="9" hidden="1"/>
    <cellStyle name="Gevolgde hyperlink" xfId="2411" builtinId="9" hidden="1"/>
    <cellStyle name="Gevolgde hyperlink" xfId="2413" builtinId="9" hidden="1"/>
    <cellStyle name="Gevolgde hyperlink" xfId="2415" builtinId="9" hidden="1"/>
    <cellStyle name="Gevolgde hyperlink" xfId="2417" builtinId="9" hidden="1"/>
    <cellStyle name="Gevolgde hyperlink" xfId="2419" builtinId="9" hidden="1"/>
    <cellStyle name="Gevolgde hyperlink" xfId="2421" builtinId="9" hidden="1"/>
    <cellStyle name="Gevolgde hyperlink" xfId="2423" builtinId="9" hidden="1"/>
    <cellStyle name="Gevolgde hyperlink" xfId="2425" builtinId="9" hidden="1"/>
    <cellStyle name="Gevolgde hyperlink" xfId="2427" builtinId="9" hidden="1"/>
    <cellStyle name="Gevolgde hyperlink" xfId="2429" builtinId="9" hidden="1"/>
    <cellStyle name="Gevolgde hyperlink" xfId="2431" builtinId="9" hidden="1"/>
    <cellStyle name="Gevolgde hyperlink" xfId="2433" builtinId="9" hidden="1"/>
    <cellStyle name="Gevolgde hyperlink" xfId="2435" builtinId="9" hidden="1"/>
    <cellStyle name="Gevolgde hyperlink" xfId="2437" builtinId="9" hidden="1"/>
    <cellStyle name="Gevolgde hyperlink" xfId="2439" builtinId="9" hidden="1"/>
    <cellStyle name="Gevolgde hyperlink" xfId="2441" builtinId="9" hidden="1"/>
    <cellStyle name="Gevolgde hyperlink" xfId="2443" builtinId="9" hidden="1"/>
    <cellStyle name="Gevolgde hyperlink" xfId="2445" builtinId="9" hidden="1"/>
    <cellStyle name="Gevolgde hyperlink" xfId="2447" builtinId="9" hidden="1"/>
    <cellStyle name="Gevolgde hyperlink" xfId="2449" builtinId="9" hidden="1"/>
    <cellStyle name="Gevolgde hyperlink" xfId="2451" builtinId="9" hidden="1"/>
    <cellStyle name="Gevolgde hyperlink" xfId="2453" builtinId="9" hidden="1"/>
    <cellStyle name="Gevolgde hyperlink" xfId="2455" builtinId="9" hidden="1"/>
    <cellStyle name="Gevolgde hyperlink" xfId="2457" builtinId="9" hidden="1"/>
    <cellStyle name="Gevolgde hyperlink" xfId="2459" builtinId="9" hidden="1"/>
    <cellStyle name="Gevolgde hyperlink" xfId="2461" builtinId="9" hidden="1"/>
    <cellStyle name="Gevolgde hyperlink" xfId="2463" builtinId="9" hidden="1"/>
    <cellStyle name="Gevolgde hyperlink" xfId="2465" builtinId="9" hidden="1"/>
    <cellStyle name="Gevolgde hyperlink" xfId="2467" builtinId="9" hidden="1"/>
    <cellStyle name="Gevolgde hyperlink" xfId="2469" builtinId="9" hidden="1"/>
    <cellStyle name="Gevolgde hyperlink" xfId="2471" builtinId="9" hidden="1"/>
    <cellStyle name="Gevolgde hyperlink" xfId="2473" builtinId="9" hidden="1"/>
    <cellStyle name="Gevolgde hyperlink" xfId="2475" builtinId="9" hidden="1"/>
    <cellStyle name="Gevolgde hyperlink" xfId="2477" builtinId="9" hidden="1"/>
    <cellStyle name="Gevolgde hyperlink" xfId="2479" builtinId="9" hidden="1"/>
    <cellStyle name="Gevolgde hyperlink" xfId="2481" builtinId="9" hidden="1"/>
    <cellStyle name="Gevolgde hyperlink" xfId="2483" builtinId="9" hidden="1"/>
    <cellStyle name="Gevolgde hyperlink" xfId="2485" builtinId="9" hidden="1"/>
    <cellStyle name="Gevolgde hyperlink" xfId="2487" builtinId="9" hidden="1"/>
    <cellStyle name="Gevolgde hyperlink" xfId="2489" builtinId="9" hidden="1"/>
    <cellStyle name="Gevolgde hyperlink" xfId="2491" builtinId="9" hidden="1"/>
    <cellStyle name="Gevolgde hyperlink" xfId="2493" builtinId="9" hidden="1"/>
    <cellStyle name="Gevolgde hyperlink" xfId="2495" builtinId="9" hidden="1"/>
    <cellStyle name="Gevolgde hyperlink" xfId="2497" builtinId="9" hidden="1"/>
    <cellStyle name="Gevolgde hyperlink" xfId="2499" builtinId="9" hidden="1"/>
    <cellStyle name="Gevolgde hyperlink" xfId="2501" builtinId="9" hidden="1"/>
    <cellStyle name="Gevolgde hyperlink" xfId="2503" builtinId="9" hidden="1"/>
    <cellStyle name="Gevolgde hyperlink" xfId="2505" builtinId="9" hidden="1"/>
    <cellStyle name="Gevolgde hyperlink" xfId="2507" builtinId="9" hidden="1"/>
    <cellStyle name="Gevolgde hyperlink" xfId="2509" builtinId="9" hidden="1"/>
    <cellStyle name="Gevolgde hyperlink" xfId="2511" builtinId="9" hidden="1"/>
    <cellStyle name="Gevolgde hyperlink" xfId="2513" builtinId="9" hidden="1"/>
    <cellStyle name="Gevolgde hyperlink" xfId="2515" builtinId="9" hidden="1"/>
    <cellStyle name="Gevolgde hyperlink" xfId="2517" builtinId="9" hidden="1"/>
    <cellStyle name="Gevolgde hyperlink" xfId="2519" builtinId="9" hidden="1"/>
    <cellStyle name="Gevolgde hyperlink" xfId="2521" builtinId="9" hidden="1"/>
    <cellStyle name="Gevolgde hyperlink" xfId="2523" builtinId="9" hidden="1"/>
    <cellStyle name="Gevolgde hyperlink" xfId="2525" builtinId="9" hidden="1"/>
    <cellStyle name="Gevolgde hyperlink" xfId="2527" builtinId="9" hidden="1"/>
    <cellStyle name="Gevolgde hyperlink" xfId="2529" builtinId="9" hidden="1"/>
    <cellStyle name="Gevolgde hyperlink" xfId="2531" builtinId="9" hidden="1"/>
    <cellStyle name="Gevolgde hyperlink" xfId="2533" builtinId="9" hidden="1"/>
    <cellStyle name="Gevolgde hyperlink" xfId="2535" builtinId="9" hidden="1"/>
    <cellStyle name="Gevolgde hyperlink" xfId="2537" builtinId="9" hidden="1"/>
    <cellStyle name="Gevolgde hyperlink" xfId="2539" builtinId="9" hidden="1"/>
    <cellStyle name="Gevolgde hyperlink" xfId="2541" builtinId="9" hidden="1"/>
    <cellStyle name="Gevolgde hyperlink" xfId="2543" builtinId="9" hidden="1"/>
    <cellStyle name="Gevolgde hyperlink" xfId="2545" builtinId="9" hidden="1"/>
    <cellStyle name="Gevolgde hyperlink" xfId="2547" builtinId="9" hidden="1"/>
    <cellStyle name="Gevolgde hyperlink" xfId="2549" builtinId="9" hidden="1"/>
    <cellStyle name="Gevolgde hyperlink" xfId="2551" builtinId="9" hidden="1"/>
    <cellStyle name="Gevolgde hyperlink" xfId="2553" builtinId="9" hidden="1"/>
    <cellStyle name="Gevolgde hyperlink" xfId="2555" builtinId="9" hidden="1"/>
    <cellStyle name="Gevolgde hyperlink" xfId="2557" builtinId="9" hidden="1"/>
    <cellStyle name="Gevolgde hyperlink" xfId="2559" builtinId="9" hidden="1"/>
    <cellStyle name="Gevolgde hyperlink" xfId="2561" builtinId="9" hidden="1"/>
    <cellStyle name="Gevolgde hyperlink" xfId="2563" builtinId="9" hidden="1"/>
    <cellStyle name="Gevolgde hyperlink" xfId="2565" builtinId="9" hidden="1"/>
    <cellStyle name="Gevolgde hyperlink" xfId="2567" builtinId="9" hidden="1"/>
    <cellStyle name="Gevolgde hyperlink" xfId="2569" builtinId="9" hidden="1"/>
    <cellStyle name="Gevolgde hyperlink" xfId="2571" builtinId="9" hidden="1"/>
    <cellStyle name="Gevolgde hyperlink" xfId="2573" builtinId="9" hidden="1"/>
    <cellStyle name="Gevolgde hyperlink" xfId="2575" builtinId="9" hidden="1"/>
    <cellStyle name="Gevolgde hyperlink" xfId="2577" builtinId="9" hidden="1"/>
    <cellStyle name="Gevolgde hyperlink" xfId="2579" builtinId="9" hidden="1"/>
    <cellStyle name="Gevolgde hyperlink" xfId="2581" builtinId="9" hidden="1"/>
    <cellStyle name="Gevolgde hyperlink" xfId="2583" builtinId="9" hidden="1"/>
    <cellStyle name="Gevolgde hyperlink" xfId="2585" builtinId="9" hidden="1"/>
    <cellStyle name="Gevolgde hyperlink" xfId="2587" builtinId="9" hidden="1"/>
    <cellStyle name="Gevolgde hyperlink" xfId="2589" builtinId="9" hidden="1"/>
    <cellStyle name="Gevolgde hyperlink" xfId="2591" builtinId="9" hidden="1"/>
    <cellStyle name="Gevolgde hyperlink" xfId="2593" builtinId="9" hidden="1"/>
    <cellStyle name="Gevolgde hyperlink" xfId="2595" builtinId="9" hidden="1"/>
    <cellStyle name="Gevolgde hyperlink" xfId="2597" builtinId="9" hidden="1"/>
    <cellStyle name="Gevolgde hyperlink" xfId="2599" builtinId="9" hidden="1"/>
    <cellStyle name="Gevolgde hyperlink" xfId="2601" builtinId="9" hidden="1"/>
    <cellStyle name="Gevolgde hyperlink" xfId="2603" builtinId="9" hidden="1"/>
    <cellStyle name="Gevolgde hyperlink" xfId="2605" builtinId="9" hidden="1"/>
    <cellStyle name="Gevolgde hyperlink" xfId="2607" builtinId="9" hidden="1"/>
    <cellStyle name="Gevolgde hyperlink" xfId="2609" builtinId="9" hidden="1"/>
    <cellStyle name="Gevolgde hyperlink" xfId="2611" builtinId="9" hidden="1"/>
    <cellStyle name="Gevolgde hyperlink" xfId="2613" builtinId="9" hidden="1"/>
    <cellStyle name="Gevolgde hyperlink" xfId="2615" builtinId="9" hidden="1"/>
    <cellStyle name="Gevolgde hyperlink" xfId="2617" builtinId="9" hidden="1"/>
    <cellStyle name="Gevolgde hyperlink" xfId="2619" builtinId="9" hidden="1"/>
    <cellStyle name="Gevolgde hyperlink" xfId="2621" builtinId="9" hidden="1"/>
    <cellStyle name="Gevolgde hyperlink" xfId="2623" builtinId="9" hidden="1"/>
    <cellStyle name="Gevolgde hyperlink" xfId="2625" builtinId="9" hidden="1"/>
    <cellStyle name="Gevolgde hyperlink" xfId="2627" builtinId="9" hidden="1"/>
    <cellStyle name="Gevolgde hyperlink" xfId="2629" builtinId="9" hidden="1"/>
    <cellStyle name="Gevolgde hyperlink" xfId="2631" builtinId="9" hidden="1"/>
    <cellStyle name="Gevolgde hyperlink" xfId="2633" builtinId="9" hidden="1"/>
    <cellStyle name="Gevolgde hyperlink" xfId="2635" builtinId="9" hidden="1"/>
    <cellStyle name="Gevolgde hyperlink" xfId="2637" builtinId="9" hidden="1"/>
    <cellStyle name="Gevolgde hyperlink" xfId="2639" builtinId="9" hidden="1"/>
    <cellStyle name="Gevolgde hyperlink" xfId="2641" builtinId="9" hidden="1"/>
    <cellStyle name="Gevolgde hyperlink" xfId="2643" builtinId="9" hidden="1"/>
    <cellStyle name="Gevolgde hyperlink" xfId="2645" builtinId="9" hidden="1"/>
    <cellStyle name="Gevolgde hyperlink" xfId="2647" builtinId="9" hidden="1"/>
    <cellStyle name="Gevolgde hyperlink" xfId="2649" builtinId="9" hidden="1"/>
    <cellStyle name="Gevolgde hyperlink" xfId="2651" builtinId="9" hidden="1"/>
    <cellStyle name="Gevolgde hyperlink" xfId="2653" builtinId="9" hidden="1"/>
    <cellStyle name="Gevolgde hyperlink" xfId="2655" builtinId="9" hidden="1"/>
    <cellStyle name="Gevolgde hyperlink" xfId="2657" builtinId="9" hidden="1"/>
    <cellStyle name="Gevolgde hyperlink" xfId="2659" builtinId="9" hidden="1"/>
    <cellStyle name="Gevolgde hyperlink" xfId="2661" builtinId="9" hidden="1"/>
    <cellStyle name="Gevolgde hyperlink" xfId="2663" builtinId="9" hidden="1"/>
    <cellStyle name="Gevolgde hyperlink" xfId="2665" builtinId="9" hidden="1"/>
    <cellStyle name="Gevolgde hyperlink" xfId="2667" builtinId="9" hidden="1"/>
    <cellStyle name="Gevolgde hyperlink" xfId="2669" builtinId="9" hidden="1"/>
    <cellStyle name="Gevolgde hyperlink" xfId="2671" builtinId="9" hidden="1"/>
    <cellStyle name="Gevolgde hyperlink" xfId="2673" builtinId="9" hidden="1"/>
    <cellStyle name="Gevolgde hyperlink" xfId="2675" builtinId="9" hidden="1"/>
    <cellStyle name="Gevolgde hyperlink" xfId="2677" builtinId="9" hidden="1"/>
    <cellStyle name="Gevolgde hyperlink" xfId="2679" builtinId="9" hidden="1"/>
    <cellStyle name="Gevolgde hyperlink" xfId="2681" builtinId="9" hidden="1"/>
    <cellStyle name="Gevolgde hyperlink" xfId="2683" builtinId="9" hidden="1"/>
    <cellStyle name="Gevolgde hyperlink" xfId="2685" builtinId="9" hidden="1"/>
    <cellStyle name="Gevolgde hyperlink" xfId="2687" builtinId="9" hidden="1"/>
    <cellStyle name="Gevolgde hyperlink" xfId="2689" builtinId="9" hidden="1"/>
    <cellStyle name="Gevolgde hyperlink" xfId="2691" builtinId="9" hidden="1"/>
    <cellStyle name="Gevolgde hyperlink" xfId="2693" builtinId="9" hidden="1"/>
    <cellStyle name="Gevolgde hyperlink" xfId="2695" builtinId="9" hidden="1"/>
    <cellStyle name="Gevolgde hyperlink" xfId="2697" builtinId="9" hidden="1"/>
    <cellStyle name="Gevolgde hyperlink" xfId="2699" builtinId="9" hidden="1"/>
    <cellStyle name="Gevolgde hyperlink" xfId="2701" builtinId="9" hidden="1"/>
    <cellStyle name="Gevolgde hyperlink" xfId="2703" builtinId="9" hidden="1"/>
    <cellStyle name="Gevolgde hyperlink" xfId="2705" builtinId="9" hidden="1"/>
    <cellStyle name="Gevolgde hyperlink" xfId="2707" builtinId="9" hidden="1"/>
    <cellStyle name="Gevolgde hyperlink" xfId="2709" builtinId="9" hidden="1"/>
    <cellStyle name="Gevolgde hyperlink" xfId="2711" builtinId="9" hidden="1"/>
    <cellStyle name="Gevolgde hyperlink" xfId="2713" builtinId="9" hidden="1"/>
    <cellStyle name="Gevolgde hyperlink" xfId="2715" builtinId="9" hidden="1"/>
    <cellStyle name="Gevolgde hyperlink" xfId="2717" builtinId="9" hidden="1"/>
    <cellStyle name="Gevolgde hyperlink" xfId="2719" builtinId="9" hidden="1"/>
    <cellStyle name="Gevolgde hyperlink" xfId="2721" builtinId="9" hidden="1"/>
    <cellStyle name="Gevolgde hyperlink" xfId="2723" builtinId="9" hidden="1"/>
    <cellStyle name="Gevolgde hyperlink" xfId="2725" builtinId="9" hidden="1"/>
    <cellStyle name="Gevolgde hyperlink" xfId="2727" builtinId="9" hidden="1"/>
    <cellStyle name="Gevolgde hyperlink" xfId="2729" builtinId="9" hidden="1"/>
    <cellStyle name="Gevolgde hyperlink" xfId="2731" builtinId="9" hidden="1"/>
    <cellStyle name="Gevolgde hyperlink" xfId="2733" builtinId="9" hidden="1"/>
    <cellStyle name="Gevolgde hyperlink" xfId="2735" builtinId="9" hidden="1"/>
    <cellStyle name="Gevolgde hyperlink" xfId="2737" builtinId="9" hidden="1"/>
    <cellStyle name="Gevolgde hyperlink" xfId="2739" builtinId="9" hidden="1"/>
    <cellStyle name="Gevolgde hyperlink" xfId="2741" builtinId="9" hidden="1"/>
    <cellStyle name="Gevolgde hyperlink" xfId="2743" builtinId="9" hidden="1"/>
    <cellStyle name="Gevolgde hyperlink" xfId="2745" builtinId="9" hidden="1"/>
    <cellStyle name="Gevolgde hyperlink" xfId="2747" builtinId="9" hidden="1"/>
    <cellStyle name="Gevolgde hyperlink" xfId="2749" builtinId="9" hidden="1"/>
    <cellStyle name="Gevolgde hyperlink" xfId="2751" builtinId="9" hidden="1"/>
    <cellStyle name="Gevolgde hyperlink" xfId="2753" builtinId="9" hidden="1"/>
    <cellStyle name="Gevolgde hyperlink" xfId="2755" builtinId="9" hidden="1"/>
    <cellStyle name="Gevolgde hyperlink" xfId="2757" builtinId="9" hidden="1"/>
    <cellStyle name="Gevolgde hyperlink" xfId="2759" builtinId="9" hidden="1"/>
    <cellStyle name="Gevolgde hyperlink" xfId="2761" builtinId="9" hidden="1"/>
    <cellStyle name="Gevolgde hyperlink" xfId="2763" builtinId="9" hidden="1"/>
    <cellStyle name="Gevolgde hyperlink" xfId="2765" builtinId="9" hidden="1"/>
    <cellStyle name="Gevolgde hyperlink" xfId="2767" builtinId="9" hidden="1"/>
    <cellStyle name="Gevolgde hyperlink" xfId="2769" builtinId="9" hidden="1"/>
    <cellStyle name="Gevolgde hyperlink" xfId="2771" builtinId="9" hidden="1"/>
    <cellStyle name="Gevolgde hyperlink" xfId="2773" builtinId="9" hidden="1"/>
    <cellStyle name="Gevolgde hyperlink" xfId="2775" builtinId="9" hidden="1"/>
    <cellStyle name="Gevolgde hyperlink" xfId="2777" builtinId="9" hidden="1"/>
    <cellStyle name="Gevolgde hyperlink" xfId="2779" builtinId="9" hidden="1"/>
    <cellStyle name="Gevolgde hyperlink" xfId="2781" builtinId="9" hidden="1"/>
    <cellStyle name="Gevolgde hyperlink" xfId="2783" builtinId="9" hidden="1"/>
    <cellStyle name="Gevolgde hyperlink" xfId="2785" builtinId="9" hidden="1"/>
    <cellStyle name="Gevolgde hyperlink" xfId="2787" builtinId="9" hidden="1"/>
    <cellStyle name="Gevolgde hyperlink" xfId="2789" builtinId="9" hidden="1"/>
    <cellStyle name="Gevolgde hyperlink" xfId="2791" builtinId="9" hidden="1"/>
    <cellStyle name="Gevolgde hyperlink" xfId="2793" builtinId="9" hidden="1"/>
    <cellStyle name="Gevolgde hyperlink" xfId="2795" builtinId="9" hidden="1"/>
    <cellStyle name="Gevolgde hyperlink" xfId="2797" builtinId="9" hidden="1"/>
    <cellStyle name="Gevolgde hyperlink" xfId="2799" builtinId="9" hidden="1"/>
    <cellStyle name="Gevolgde hyperlink" xfId="2801" builtinId="9" hidden="1"/>
    <cellStyle name="Gevolgde hyperlink" xfId="2803" builtinId="9" hidden="1"/>
    <cellStyle name="Gevolgde hyperlink" xfId="2805" builtinId="9" hidden="1"/>
    <cellStyle name="Gevolgde hyperlink" xfId="2807" builtinId="9" hidden="1"/>
    <cellStyle name="Gevolgde hyperlink" xfId="2809" builtinId="9" hidden="1"/>
    <cellStyle name="Gevolgde hyperlink" xfId="2811" builtinId="9" hidden="1"/>
    <cellStyle name="Gevolgde hyperlink" xfId="2813" builtinId="9" hidden="1"/>
    <cellStyle name="Gevolgde hyperlink" xfId="2815" builtinId="9" hidden="1"/>
    <cellStyle name="Gevolgde hyperlink" xfId="2817" builtinId="9" hidden="1"/>
    <cellStyle name="Gevolgde hyperlink" xfId="2819" builtinId="9" hidden="1"/>
    <cellStyle name="Gevolgde hyperlink" xfId="2821" builtinId="9" hidden="1"/>
    <cellStyle name="Gevolgde hyperlink" xfId="2823" builtinId="9" hidden="1"/>
    <cellStyle name="Gevolgde hyperlink" xfId="2825" builtinId="9" hidden="1"/>
    <cellStyle name="Gevolgde hyperlink" xfId="2827" builtinId="9" hidden="1"/>
    <cellStyle name="Gevolgde hyperlink" xfId="2829" builtinId="9" hidden="1"/>
    <cellStyle name="Gevolgde hyperlink" xfId="2831" builtinId="9" hidden="1"/>
    <cellStyle name="Gevolgde hyperlink" xfId="2833" builtinId="9" hidden="1"/>
    <cellStyle name="Gevolgde hyperlink" xfId="2835" builtinId="9" hidden="1"/>
    <cellStyle name="Gevolgde hyperlink" xfId="2837" builtinId="9" hidden="1"/>
    <cellStyle name="Gevolgde hyperlink" xfId="2839" builtinId="9" hidden="1"/>
    <cellStyle name="Gevolgde hyperlink" xfId="2841" builtinId="9" hidden="1"/>
    <cellStyle name="Gevolgde hyperlink" xfId="2843" builtinId="9" hidden="1"/>
    <cellStyle name="Gevolgde hyperlink" xfId="2845" builtinId="9" hidden="1"/>
    <cellStyle name="Gevolgde hyperlink" xfId="2847" builtinId="9" hidden="1"/>
    <cellStyle name="Gevolgde hyperlink" xfId="2849" builtinId="9" hidden="1"/>
    <cellStyle name="Gevolgde hyperlink" xfId="2851" builtinId="9" hidden="1"/>
    <cellStyle name="Gevolgde hyperlink" xfId="2853" builtinId="9" hidden="1"/>
    <cellStyle name="Gevolgde hyperlink" xfId="2855" builtinId="9" hidden="1"/>
    <cellStyle name="Gevolgde hyperlink" xfId="2857" builtinId="9" hidden="1"/>
    <cellStyle name="Gevolgde hyperlink" xfId="2859" builtinId="9" hidden="1"/>
    <cellStyle name="Gevolgde hyperlink" xfId="2861" builtinId="9" hidden="1"/>
    <cellStyle name="Gevolgde hyperlink" xfId="2863" builtinId="9" hidden="1"/>
    <cellStyle name="Gevolgde hyperlink" xfId="2865" builtinId="9" hidden="1"/>
    <cellStyle name="Gevolgde hyperlink" xfId="2867" builtinId="9" hidden="1"/>
    <cellStyle name="Gevolgde hyperlink" xfId="2869" builtinId="9" hidden="1"/>
    <cellStyle name="Gevolgde hyperlink" xfId="2871" builtinId="9" hidden="1"/>
    <cellStyle name="Gevolgde hyperlink" xfId="2873" builtinId="9" hidden="1"/>
    <cellStyle name="Gevolgde hyperlink" xfId="2875" builtinId="9" hidden="1"/>
    <cellStyle name="Gevolgde hyperlink" xfId="2877" builtinId="9" hidden="1"/>
    <cellStyle name="Gevolgde hyperlink" xfId="2879" builtinId="9" hidden="1"/>
    <cellStyle name="Gevolgde hyperlink" xfId="2881" builtinId="9" hidden="1"/>
    <cellStyle name="Gevolgde hyperlink" xfId="2883" builtinId="9" hidden="1"/>
    <cellStyle name="Gevolgde hyperlink" xfId="2885" builtinId="9" hidden="1"/>
    <cellStyle name="Gevolgde hyperlink" xfId="2887" builtinId="9" hidden="1"/>
    <cellStyle name="Gevolgde hyperlink" xfId="2889" builtinId="9" hidden="1"/>
    <cellStyle name="Gevolgde hyperlink" xfId="2891" builtinId="9" hidden="1"/>
    <cellStyle name="Gevolgde hyperlink" xfId="2893" builtinId="9" hidden="1"/>
    <cellStyle name="Gevolgde hyperlink" xfId="2895" builtinId="9" hidden="1"/>
    <cellStyle name="Gevolgde hyperlink" xfId="2897" builtinId="9" hidden="1"/>
    <cellStyle name="Gevolgde hyperlink" xfId="2899" builtinId="9" hidden="1"/>
    <cellStyle name="Gevolgde hyperlink" xfId="2901" builtinId="9" hidden="1"/>
    <cellStyle name="Gevolgde hyperlink" xfId="2903" builtinId="9" hidden="1"/>
    <cellStyle name="Gevolgde hyperlink" xfId="2905" builtinId="9" hidden="1"/>
    <cellStyle name="Gevolgde hyperlink" xfId="2907" builtinId="9" hidden="1"/>
    <cellStyle name="Gevolgde hyperlink" xfId="2909" builtinId="9" hidden="1"/>
    <cellStyle name="Gevolgde hyperlink" xfId="2911" builtinId="9" hidden="1"/>
    <cellStyle name="Gevolgde hyperlink" xfId="2913" builtinId="9" hidden="1"/>
    <cellStyle name="Gevolgde hyperlink" xfId="2915" builtinId="9" hidden="1"/>
    <cellStyle name="Gevolgde hyperlink" xfId="2917" builtinId="9" hidden="1"/>
    <cellStyle name="Gevolgde hyperlink" xfId="2919" builtinId="9" hidden="1"/>
    <cellStyle name="Gevolgde hyperlink" xfId="2921" builtinId="9" hidden="1"/>
    <cellStyle name="Gevolgde hyperlink" xfId="2923" builtinId="9" hidden="1"/>
    <cellStyle name="Gevolgde hyperlink" xfId="2925" builtinId="9" hidden="1"/>
    <cellStyle name="Gevolgde hyperlink" xfId="2927" builtinId="9" hidden="1"/>
    <cellStyle name="Gevolgde hyperlink" xfId="2929" builtinId="9" hidden="1"/>
    <cellStyle name="Gevolgde hyperlink" xfId="2931" builtinId="9" hidden="1"/>
    <cellStyle name="Gevolgde hyperlink" xfId="2933" builtinId="9" hidden="1"/>
    <cellStyle name="Gevolgde hyperlink" xfId="2935" builtinId="9" hidden="1"/>
    <cellStyle name="Gevolgde hyperlink" xfId="2937" builtinId="9" hidden="1"/>
    <cellStyle name="Gevolgde hyperlink" xfId="2939" builtinId="9" hidden="1"/>
    <cellStyle name="Gevolgde hyperlink" xfId="2941" builtinId="9" hidden="1"/>
    <cellStyle name="Gevolgde hyperlink" xfId="2943" builtinId="9" hidden="1"/>
    <cellStyle name="Gevolgde hyperlink" xfId="2945" builtinId="9" hidden="1"/>
    <cellStyle name="Gevolgde hyperlink" xfId="2947" builtinId="9" hidden="1"/>
    <cellStyle name="Gevolgde hyperlink" xfId="2949" builtinId="9" hidden="1"/>
    <cellStyle name="Gevolgde hyperlink" xfId="2951" builtinId="9" hidden="1"/>
    <cellStyle name="Gevolgde hyperlink" xfId="2953" builtinId="9" hidden="1"/>
    <cellStyle name="Gevolgde hyperlink" xfId="2955" builtinId="9" hidden="1"/>
    <cellStyle name="Gevolgde hyperlink" xfId="2957" builtinId="9" hidden="1"/>
    <cellStyle name="Gevolgde hyperlink" xfId="2959" builtinId="9" hidden="1"/>
    <cellStyle name="Gevolgde hyperlink" xfId="2961" builtinId="9" hidden="1"/>
    <cellStyle name="Gevolgde hyperlink" xfId="2963" builtinId="9" hidden="1"/>
    <cellStyle name="Gevolgde hyperlink" xfId="2965" builtinId="9" hidden="1"/>
    <cellStyle name="Gevolgde hyperlink" xfId="2967" builtinId="9" hidden="1"/>
    <cellStyle name="Gevolgde hyperlink" xfId="2969" builtinId="9" hidden="1"/>
    <cellStyle name="Gevolgde hyperlink" xfId="2971" builtinId="9" hidden="1"/>
    <cellStyle name="Gevolgde hyperlink" xfId="2973" builtinId="9" hidden="1"/>
    <cellStyle name="Gevolgde hyperlink" xfId="2975" builtinId="9" hidden="1"/>
    <cellStyle name="Gevolgde hyperlink" xfId="2977" builtinId="9" hidden="1"/>
    <cellStyle name="Gevolgde hyperlink" xfId="2979" builtinId="9" hidden="1"/>
    <cellStyle name="Gevolgde hyperlink" xfId="2981" builtinId="9" hidden="1"/>
    <cellStyle name="Gevolgde hyperlink" xfId="2983" builtinId="9" hidden="1"/>
    <cellStyle name="Gevolgde hyperlink" xfId="2985" builtinId="9" hidden="1"/>
    <cellStyle name="Gevolgde hyperlink" xfId="2987" builtinId="9" hidden="1"/>
    <cellStyle name="Gevolgde hyperlink" xfId="2989" builtinId="9" hidden="1"/>
    <cellStyle name="Gevolgde hyperlink" xfId="2991" builtinId="9" hidden="1"/>
    <cellStyle name="Gevolgde hyperlink" xfId="2993" builtinId="9" hidden="1"/>
    <cellStyle name="Gevolgde hyperlink" xfId="2995" builtinId="9" hidden="1"/>
    <cellStyle name="Gevolgde hyperlink" xfId="2997" builtinId="9" hidden="1"/>
    <cellStyle name="Gevolgde hyperlink" xfId="2999" builtinId="9" hidden="1"/>
    <cellStyle name="Gevolgde hyperlink" xfId="3001" builtinId="9" hidden="1"/>
    <cellStyle name="Gevolgde hyperlink" xfId="3003" builtinId="9" hidden="1"/>
    <cellStyle name="Gevolgde hyperlink" xfId="3005" builtinId="9" hidden="1"/>
    <cellStyle name="Gevolgde hyperlink" xfId="3007" builtinId="9" hidden="1"/>
    <cellStyle name="Gevolgde hyperlink" xfId="3009" builtinId="9" hidden="1"/>
    <cellStyle name="Gevolgde hyperlink" xfId="3011" builtinId="9" hidden="1"/>
    <cellStyle name="Gevolgde hyperlink" xfId="3013" builtinId="9" hidden="1"/>
    <cellStyle name="Gevolgde hyperlink" xfId="3015" builtinId="9" hidden="1"/>
    <cellStyle name="Gevolgde hyperlink" xfId="3017" builtinId="9" hidden="1"/>
    <cellStyle name="Gevolgde hyperlink" xfId="3019" builtinId="9" hidden="1"/>
    <cellStyle name="Gevolgde hyperlink" xfId="3021" builtinId="9" hidden="1"/>
    <cellStyle name="Gevolgde hyperlink" xfId="3023" builtinId="9" hidden="1"/>
    <cellStyle name="Gevolgde hyperlink" xfId="3025" builtinId="9" hidden="1"/>
    <cellStyle name="Gevolgde hyperlink" xfId="3027" builtinId="9" hidden="1"/>
    <cellStyle name="Gevolgde hyperlink" xfId="3029" builtinId="9" hidden="1"/>
    <cellStyle name="Gevolgde hyperlink" xfId="3031" builtinId="9" hidden="1"/>
    <cellStyle name="Gevolgde hyperlink" xfId="3033" builtinId="9" hidden="1"/>
    <cellStyle name="Gevolgde hyperlink" xfId="3035" builtinId="9" hidden="1"/>
    <cellStyle name="Gevolgde hyperlink" xfId="3037" builtinId="9" hidden="1"/>
    <cellStyle name="Gevolgde hyperlink" xfId="3039" builtinId="9" hidden="1"/>
    <cellStyle name="Gevolgde hyperlink" xfId="3041" builtinId="9" hidden="1"/>
    <cellStyle name="Gevolgde hyperlink" xfId="3043" builtinId="9" hidden="1"/>
    <cellStyle name="Gevolgde hyperlink" xfId="3045" builtinId="9" hidden="1"/>
    <cellStyle name="Gevolgde hyperlink" xfId="3047" builtinId="9" hidden="1"/>
    <cellStyle name="Gevolgde hyperlink" xfId="3049" builtinId="9" hidden="1"/>
    <cellStyle name="Gevolgde hyperlink" xfId="3051" builtinId="9" hidden="1"/>
    <cellStyle name="Gevolgde hyperlink" xfId="3053" builtinId="9" hidden="1"/>
    <cellStyle name="Gevolgde hyperlink" xfId="3055" builtinId="9" hidden="1"/>
    <cellStyle name="Gevolgde hyperlink" xfId="3057" builtinId="9" hidden="1"/>
    <cellStyle name="Gevolgde hyperlink" xfId="3059" builtinId="9" hidden="1"/>
    <cellStyle name="Gevolgde hyperlink" xfId="3061" builtinId="9" hidden="1"/>
    <cellStyle name="Gevolgde hyperlink" xfId="3063" builtinId="9" hidden="1"/>
    <cellStyle name="Gevolgde hyperlink" xfId="3065" builtinId="9" hidden="1"/>
    <cellStyle name="Gevolgde hyperlink" xfId="3067" builtinId="9" hidden="1"/>
    <cellStyle name="Gevolgde hyperlink" xfId="3069" builtinId="9" hidden="1"/>
    <cellStyle name="Gevolgde hyperlink" xfId="3071" builtinId="9" hidden="1"/>
    <cellStyle name="Gevolgde hyperlink" xfId="3073" builtinId="9" hidden="1"/>
    <cellStyle name="Gevolgde hyperlink" xfId="3075" builtinId="9" hidden="1"/>
    <cellStyle name="Gevolgde hyperlink" xfId="3077" builtinId="9" hidden="1"/>
    <cellStyle name="Gevolgde hyperlink" xfId="3079" builtinId="9" hidden="1"/>
    <cellStyle name="Gevolgde hyperlink" xfId="3081" builtinId="9" hidden="1"/>
    <cellStyle name="Gevolgde hyperlink" xfId="3083" builtinId="9" hidden="1"/>
    <cellStyle name="Gevolgde hyperlink" xfId="3085" builtinId="9" hidden="1"/>
    <cellStyle name="Gevolgde hyperlink" xfId="3087" builtinId="9" hidden="1"/>
    <cellStyle name="Gevolgde hyperlink" xfId="3089" builtinId="9" hidden="1"/>
    <cellStyle name="Gevolgde hyperlink" xfId="3091" builtinId="9" hidden="1"/>
    <cellStyle name="Gevolgde hyperlink" xfId="3093" builtinId="9" hidden="1"/>
    <cellStyle name="Gevolgde hyperlink" xfId="3095" builtinId="9" hidden="1"/>
    <cellStyle name="Gevolgde hyperlink" xfId="3097" builtinId="9" hidden="1"/>
    <cellStyle name="Gevolgde hyperlink" xfId="3099" builtinId="9" hidden="1"/>
    <cellStyle name="Gevolgde hyperlink" xfId="3101" builtinId="9" hidden="1"/>
    <cellStyle name="Gevolgde hyperlink" xfId="3103" builtinId="9" hidden="1"/>
    <cellStyle name="Gevolgde hyperlink" xfId="3105" builtinId="9" hidden="1"/>
    <cellStyle name="Gevolgde hyperlink" xfId="3107" builtinId="9" hidden="1"/>
    <cellStyle name="Gevolgde hyperlink" xfId="3109" builtinId="9" hidden="1"/>
    <cellStyle name="Gevolgde hyperlink" xfId="3111" builtinId="9" hidden="1"/>
    <cellStyle name="Gevolgde hyperlink" xfId="3113" builtinId="9" hidden="1"/>
    <cellStyle name="Gevolgde hyperlink" xfId="3115" builtinId="9" hidden="1"/>
    <cellStyle name="Gevolgde hyperlink" xfId="3117" builtinId="9" hidden="1"/>
    <cellStyle name="Gevolgde hyperlink" xfId="3119" builtinId="9" hidden="1"/>
    <cellStyle name="Gevolgde hyperlink" xfId="3121" builtinId="9" hidden="1"/>
    <cellStyle name="Gevolgde hyperlink" xfId="3123" builtinId="9" hidden="1"/>
    <cellStyle name="Gevolgde hyperlink" xfId="3125" builtinId="9" hidden="1"/>
    <cellStyle name="Gevolgde hyperlink" xfId="3127" builtinId="9" hidden="1"/>
    <cellStyle name="Gevolgde hyperlink" xfId="3129" builtinId="9" hidden="1"/>
    <cellStyle name="Gevolgde hyperlink" xfId="3131" builtinId="9" hidden="1"/>
    <cellStyle name="Gevolgde hyperlink" xfId="3133" builtinId="9" hidden="1"/>
    <cellStyle name="Gevolgde hyperlink" xfId="3135" builtinId="9" hidden="1"/>
    <cellStyle name="Gevolgde hyperlink" xfId="3137" builtinId="9" hidden="1"/>
    <cellStyle name="Gevolgde hyperlink" xfId="3139" builtinId="9" hidden="1"/>
    <cellStyle name="Gevolgde hyperlink" xfId="3141" builtinId="9" hidden="1"/>
    <cellStyle name="Gevolgde hyperlink" xfId="3143" builtinId="9" hidden="1"/>
    <cellStyle name="Gevolgde hyperlink" xfId="3145" builtinId="9" hidden="1"/>
    <cellStyle name="Gevolgde hyperlink" xfId="3147" builtinId="9" hidden="1"/>
    <cellStyle name="Gevolgde hyperlink" xfId="3149" builtinId="9" hidden="1"/>
    <cellStyle name="Gevolgde hyperlink" xfId="3151" builtinId="9" hidden="1"/>
    <cellStyle name="Gevolgde hyperlink" xfId="3153" builtinId="9" hidden="1"/>
    <cellStyle name="Gevolgde hyperlink" xfId="3155" builtinId="9" hidden="1"/>
    <cellStyle name="Gevolgde hyperlink" xfId="3157" builtinId="9" hidden="1"/>
    <cellStyle name="Gevolgde hyperlink" xfId="3159" builtinId="9" hidden="1"/>
    <cellStyle name="Gevolgde hyperlink" xfId="3161" builtinId="9" hidden="1"/>
    <cellStyle name="Gevolgde hyperlink" xfId="3163" builtinId="9" hidden="1"/>
    <cellStyle name="Gevolgde hyperlink" xfId="3165" builtinId="9" hidden="1"/>
    <cellStyle name="Gevolgde hyperlink" xfId="3167" builtinId="9" hidden="1"/>
    <cellStyle name="Gevolgde hyperlink" xfId="3169" builtinId="9" hidden="1"/>
    <cellStyle name="Gevolgde hyperlink" xfId="3171" builtinId="9" hidden="1"/>
    <cellStyle name="Gevolgde hyperlink" xfId="3173" builtinId="9" hidden="1"/>
    <cellStyle name="Gevolgde hyperlink" xfId="3175" builtinId="9" hidden="1"/>
    <cellStyle name="Gevolgde hyperlink" xfId="3177" builtinId="9" hidden="1"/>
    <cellStyle name="Gevolgde hyperlink" xfId="3179" builtinId="9" hidden="1"/>
    <cellStyle name="Gevolgde hyperlink" xfId="3181" builtinId="9" hidden="1"/>
    <cellStyle name="Gevolgde hyperlink" xfId="3183" builtinId="9" hidden="1"/>
    <cellStyle name="Gevolgde hyperlink" xfId="3185" builtinId="9" hidden="1"/>
    <cellStyle name="Gevolgde hyperlink" xfId="3187" builtinId="9" hidden="1"/>
    <cellStyle name="Gevolgde hyperlink" xfId="3189" builtinId="9" hidden="1"/>
    <cellStyle name="Gevolgde hyperlink" xfId="3191" builtinId="9" hidden="1"/>
    <cellStyle name="Gevolgde hyperlink" xfId="3193" builtinId="9" hidden="1"/>
    <cellStyle name="Gevolgde hyperlink" xfId="3195" builtinId="9" hidden="1"/>
    <cellStyle name="Gevolgde hyperlink" xfId="3197" builtinId="9" hidden="1"/>
    <cellStyle name="Gevolgde hyperlink" xfId="3199" builtinId="9" hidden="1"/>
    <cellStyle name="Gevolgde hyperlink" xfId="3201" builtinId="9" hidden="1"/>
    <cellStyle name="Gevolgde hyperlink" xfId="3203" builtinId="9" hidden="1"/>
    <cellStyle name="Gevolgde hyperlink" xfId="3205" builtinId="9" hidden="1"/>
    <cellStyle name="Gevolgde hyperlink" xfId="3207" builtinId="9" hidden="1"/>
    <cellStyle name="Gevolgde hyperlink" xfId="3209" builtinId="9" hidden="1"/>
    <cellStyle name="Gevolgde hyperlink" xfId="3211" builtinId="9" hidden="1"/>
    <cellStyle name="Gevolgde hyperlink" xfId="3213" builtinId="9" hidden="1"/>
    <cellStyle name="Gevolgde hyperlink" xfId="3215" builtinId="9" hidden="1"/>
    <cellStyle name="Gevolgde hyperlink" xfId="3217" builtinId="9" hidden="1"/>
    <cellStyle name="Gevolgde hyperlink" xfId="3219" builtinId="9" hidden="1"/>
    <cellStyle name="Gevolgde hyperlink" xfId="3221" builtinId="9" hidden="1"/>
    <cellStyle name="Gevolgde hyperlink" xfId="3223" builtinId="9" hidden="1"/>
    <cellStyle name="Gevolgde hyperlink" xfId="3225" builtinId="9" hidden="1"/>
    <cellStyle name="Gevolgde hyperlink" xfId="3227" builtinId="9" hidden="1"/>
    <cellStyle name="Gevolgde hyperlink" xfId="3229" builtinId="9" hidden="1"/>
    <cellStyle name="Gevolgde hyperlink" xfId="3231" builtinId="9" hidden="1"/>
    <cellStyle name="Gevolgde hyperlink" xfId="3233" builtinId="9" hidden="1"/>
    <cellStyle name="Gevolgde hyperlink" xfId="3235" builtinId="9" hidden="1"/>
    <cellStyle name="Gevolgde hyperlink" xfId="3237" builtinId="9" hidden="1"/>
    <cellStyle name="Gevolgde hyperlink" xfId="3239" builtinId="9" hidden="1"/>
    <cellStyle name="Gevolgde hyperlink" xfId="3241" builtinId="9" hidden="1"/>
    <cellStyle name="Gevolgde hyperlink" xfId="3243" builtinId="9" hidden="1"/>
    <cellStyle name="Gevolgde hyperlink" xfId="3245" builtinId="9" hidden="1"/>
    <cellStyle name="Gevolgde hyperlink" xfId="3247" builtinId="9" hidden="1"/>
    <cellStyle name="Gevolgde hyperlink" xfId="3249" builtinId="9" hidden="1"/>
    <cellStyle name="Gevolgde hyperlink" xfId="3251" builtinId="9" hidden="1"/>
    <cellStyle name="Gevolgde hyperlink" xfId="3253" builtinId="9" hidden="1"/>
    <cellStyle name="Gevolgde hyperlink" xfId="3255" builtinId="9" hidden="1"/>
    <cellStyle name="Gevolgde hyperlink" xfId="3257" builtinId="9" hidden="1"/>
    <cellStyle name="Gevolgde hyperlink" xfId="3259" builtinId="9" hidden="1"/>
    <cellStyle name="Gevolgde hyperlink" xfId="3261" builtinId="9" hidden="1"/>
    <cellStyle name="Gevolgde hyperlink" xfId="3263" builtinId="9" hidden="1"/>
    <cellStyle name="Gevolgde hyperlink" xfId="3265" builtinId="9" hidden="1"/>
    <cellStyle name="Gevolgde hyperlink" xfId="3267" builtinId="9" hidden="1"/>
    <cellStyle name="Gevolgde hyperlink" xfId="3269" builtinId="9" hidden="1"/>
    <cellStyle name="Gevolgde hyperlink" xfId="3271" builtinId="9" hidden="1"/>
    <cellStyle name="Gevolgde hyperlink" xfId="3273" builtinId="9" hidden="1"/>
    <cellStyle name="Gevolgde hyperlink" xfId="3275" builtinId="9" hidden="1"/>
    <cellStyle name="Gevolgde hyperlink" xfId="3277" builtinId="9" hidden="1"/>
    <cellStyle name="Gevolgde hyperlink" xfId="3279" builtinId="9" hidden="1"/>
    <cellStyle name="Gevolgde hyperlink" xfId="3281" builtinId="9" hidden="1"/>
    <cellStyle name="Gevolgde hyperlink" xfId="3283" builtinId="9" hidden="1"/>
    <cellStyle name="Gevolgde hyperlink" xfId="3285" builtinId="9" hidden="1"/>
    <cellStyle name="Gevolgde hyperlink" xfId="3287" builtinId="9" hidden="1"/>
    <cellStyle name="Gevolgde hyperlink" xfId="3289" builtinId="9" hidden="1"/>
    <cellStyle name="Gevolgde hyperlink" xfId="3291" builtinId="9" hidden="1"/>
    <cellStyle name="Gevolgde hyperlink" xfId="3293" builtinId="9" hidden="1"/>
    <cellStyle name="Gevolgde hyperlink" xfId="3295" builtinId="9" hidden="1"/>
    <cellStyle name="Gevolgde hyperlink" xfId="3297" builtinId="9" hidden="1"/>
    <cellStyle name="Gevolgde hyperlink" xfId="3299" builtinId="9" hidden="1"/>
    <cellStyle name="Gevolgde hyperlink" xfId="3301" builtinId="9" hidden="1"/>
    <cellStyle name="Gevolgde hyperlink" xfId="3303" builtinId="9" hidden="1"/>
    <cellStyle name="Gevolgde hyperlink" xfId="3305" builtinId="9" hidden="1"/>
    <cellStyle name="Gevolgde hyperlink" xfId="3307" builtinId="9" hidden="1"/>
    <cellStyle name="Gevolgde hyperlink" xfId="3309" builtinId="9" hidden="1"/>
    <cellStyle name="Gevolgde hyperlink" xfId="3311" builtinId="9" hidden="1"/>
    <cellStyle name="Gevolgde hyperlink" xfId="3313" builtinId="9" hidden="1"/>
    <cellStyle name="Gevolgde hyperlink" xfId="3315" builtinId="9" hidden="1"/>
    <cellStyle name="Gevolgde hyperlink" xfId="3317" builtinId="9" hidden="1"/>
    <cellStyle name="Gevolgde hyperlink" xfId="3319" builtinId="9" hidden="1"/>
    <cellStyle name="Gevolgde hyperlink" xfId="3321" builtinId="9" hidden="1"/>
    <cellStyle name="Gevolgde hyperlink" xfId="3323" builtinId="9" hidden="1"/>
    <cellStyle name="Gevolgde hyperlink" xfId="3325" builtinId="9" hidden="1"/>
    <cellStyle name="Gevolgde hyperlink" xfId="3327" builtinId="9" hidden="1"/>
    <cellStyle name="Gevolgde hyperlink" xfId="3329" builtinId="9" hidden="1"/>
    <cellStyle name="Gevolgde hyperlink" xfId="3331" builtinId="9" hidden="1"/>
    <cellStyle name="Gevolgde hyperlink" xfId="3333" builtinId="9" hidden="1"/>
    <cellStyle name="Gevolgde hyperlink" xfId="3335" builtinId="9" hidden="1"/>
    <cellStyle name="Gevolgde hyperlink" xfId="3337" builtinId="9" hidden="1"/>
    <cellStyle name="Gevolgde hyperlink" xfId="3339" builtinId="9" hidden="1"/>
    <cellStyle name="Gevolgde hyperlink" xfId="3341" builtinId="9" hidden="1"/>
    <cellStyle name="Gevolgde hyperlink" xfId="3343" builtinId="9" hidden="1"/>
    <cellStyle name="Gevolgde hyperlink" xfId="3345" builtinId="9" hidden="1"/>
    <cellStyle name="Gevolgde hyperlink" xfId="3347" builtinId="9" hidden="1"/>
    <cellStyle name="Gevolgde hyperlink" xfId="3349" builtinId="9" hidden="1"/>
    <cellStyle name="Gevolgde hyperlink" xfId="3351" builtinId="9" hidden="1"/>
    <cellStyle name="Gevolgde hyperlink" xfId="3353" builtinId="9" hidden="1"/>
    <cellStyle name="Gevolgde hyperlink" xfId="3355" builtinId="9" hidden="1"/>
    <cellStyle name="Gevolgde hyperlink" xfId="3357" builtinId="9" hidden="1"/>
    <cellStyle name="Gevolgde hyperlink" xfId="3359" builtinId="9" hidden="1"/>
    <cellStyle name="Gevolgde hyperlink" xfId="3361" builtinId="9" hidden="1"/>
    <cellStyle name="Gevolgde hyperlink" xfId="3363" builtinId="9" hidden="1"/>
    <cellStyle name="Gevolgde hyperlink" xfId="3365" builtinId="9" hidden="1"/>
    <cellStyle name="Gevolgde hyperlink" xfId="3367" builtinId="9" hidden="1"/>
    <cellStyle name="Gevolgde hyperlink" xfId="3369" builtinId="9" hidden="1"/>
    <cellStyle name="Gevolgde hyperlink" xfId="3371" builtinId="9" hidden="1"/>
    <cellStyle name="Gevolgde hyperlink" xfId="3373" builtinId="9" hidden="1"/>
    <cellStyle name="Gevolgde hyperlink" xfId="3375" builtinId="9" hidden="1"/>
    <cellStyle name="Gevolgde hyperlink" xfId="3377" builtinId="9" hidden="1"/>
    <cellStyle name="Gevolgde hyperlink" xfId="3379" builtinId="9" hidden="1"/>
    <cellStyle name="Gevolgde hyperlink" xfId="3381" builtinId="9" hidden="1"/>
    <cellStyle name="Gevolgde hyperlink" xfId="3383" builtinId="9" hidden="1"/>
    <cellStyle name="Gevolgde hyperlink" xfId="3385" builtinId="9" hidden="1"/>
    <cellStyle name="Gevolgde hyperlink" xfId="3387" builtinId="9" hidden="1"/>
    <cellStyle name="Gevolgde hyperlink" xfId="3389" builtinId="9" hidden="1"/>
    <cellStyle name="Gevolgde hyperlink" xfId="3391" builtinId="9" hidden="1"/>
    <cellStyle name="Gevolgde hyperlink" xfId="3393" builtinId="9" hidden="1"/>
    <cellStyle name="Gevolgde hyperlink" xfId="3395" builtinId="9" hidden="1"/>
    <cellStyle name="Gevolgde hyperlink" xfId="3397" builtinId="9" hidden="1"/>
    <cellStyle name="Gevolgde hyperlink" xfId="3399" builtinId="9" hidden="1"/>
    <cellStyle name="Gevolgde hyperlink" xfId="3401" builtinId="9" hidden="1"/>
    <cellStyle name="Gevolgde hyperlink" xfId="3403" builtinId="9" hidden="1"/>
    <cellStyle name="Gevolgde hyperlink" xfId="3405" builtinId="9" hidden="1"/>
    <cellStyle name="Gevolgde hyperlink" xfId="3407" builtinId="9" hidden="1"/>
    <cellStyle name="Gevolgde hyperlink" xfId="3409" builtinId="9" hidden="1"/>
    <cellStyle name="Gevolgde hyperlink" xfId="3411" builtinId="9" hidden="1"/>
    <cellStyle name="Gevolgde hyperlink" xfId="3413" builtinId="9" hidden="1"/>
    <cellStyle name="Gevolgde hyperlink" xfId="3415" builtinId="9" hidden="1"/>
    <cellStyle name="Gevolgde hyperlink" xfId="3417" builtinId="9" hidden="1"/>
    <cellStyle name="Gevolgde hyperlink" xfId="3419" builtinId="9" hidden="1"/>
    <cellStyle name="Gevolgde hyperlink" xfId="3421" builtinId="9" hidden="1"/>
    <cellStyle name="Gevolgde hyperlink" xfId="3423" builtinId="9" hidden="1"/>
    <cellStyle name="Gevolgde hyperlink" xfId="3425" builtinId="9" hidden="1"/>
    <cellStyle name="Gevolgde hyperlink" xfId="3427" builtinId="9" hidden="1"/>
    <cellStyle name="Gevolgde hyperlink" xfId="3429" builtinId="9" hidden="1"/>
    <cellStyle name="Gevolgde hyperlink" xfId="3431" builtinId="9" hidden="1"/>
    <cellStyle name="Gevolgde hyperlink" xfId="3433" builtinId="9" hidden="1"/>
    <cellStyle name="Gevolgde hyperlink" xfId="3435" builtinId="9" hidden="1"/>
    <cellStyle name="Gevolgde hyperlink" xfId="3437" builtinId="9" hidden="1"/>
    <cellStyle name="Gevolgde hyperlink" xfId="3439" builtinId="9" hidden="1"/>
    <cellStyle name="Gevolgde hyperlink" xfId="3441" builtinId="9" hidden="1"/>
    <cellStyle name="Gevolgde hyperlink" xfId="3443" builtinId="9" hidden="1"/>
    <cellStyle name="Gevolgde hyperlink" xfId="3445" builtinId="9" hidden="1"/>
    <cellStyle name="Gevolgde hyperlink" xfId="3447" builtinId="9" hidden="1"/>
    <cellStyle name="Gevolgde hyperlink" xfId="3449" builtinId="9" hidden="1"/>
    <cellStyle name="Gevolgde hyperlink" xfId="3451" builtinId="9" hidden="1"/>
    <cellStyle name="Gevolgde hyperlink" xfId="3453" builtinId="9" hidden="1"/>
    <cellStyle name="Gevolgde hyperlink" xfId="3455" builtinId="9" hidden="1"/>
    <cellStyle name="Gevolgde hyperlink" xfId="3457" builtinId="9" hidden="1"/>
    <cellStyle name="Gevolgde hyperlink" xfId="3459" builtinId="9" hidden="1"/>
    <cellStyle name="Gevolgde hyperlink" xfId="3461" builtinId="9" hidden="1"/>
    <cellStyle name="Gevolgde hyperlink" xfId="3463" builtinId="9" hidden="1"/>
    <cellStyle name="Gevolgde hyperlink" xfId="3465" builtinId="9" hidden="1"/>
    <cellStyle name="Gevolgde hyperlink" xfId="3467" builtinId="9" hidden="1"/>
    <cellStyle name="Gevolgde hyperlink" xfId="3469" builtinId="9" hidden="1"/>
    <cellStyle name="Gevolgde hyperlink" xfId="3471" builtinId="9" hidden="1"/>
    <cellStyle name="Gevolgde hyperlink" xfId="3473" builtinId="9" hidden="1"/>
    <cellStyle name="Gevolgde hyperlink" xfId="3475" builtinId="9" hidden="1"/>
    <cellStyle name="Gevolgde hyperlink" xfId="3477" builtinId="9" hidden="1"/>
    <cellStyle name="Gevolgde hyperlink" xfId="3479" builtinId="9" hidden="1"/>
    <cellStyle name="Gevolgde hyperlink" xfId="3481" builtinId="9" hidden="1"/>
    <cellStyle name="Gevolgde hyperlink" xfId="3483" builtinId="9" hidden="1"/>
    <cellStyle name="Gevolgde hyperlink" xfId="3485" builtinId="9" hidden="1"/>
    <cellStyle name="Gevolgde hyperlink" xfId="3487" builtinId="9" hidden="1"/>
    <cellStyle name="Gevolgde hyperlink" xfId="3489" builtinId="9" hidden="1"/>
    <cellStyle name="Gevolgde hyperlink" xfId="3491" builtinId="9" hidden="1"/>
    <cellStyle name="Gevolgde hyperlink" xfId="3493" builtinId="9" hidden="1"/>
    <cellStyle name="Gevolgde hyperlink" xfId="3495" builtinId="9" hidden="1"/>
    <cellStyle name="Gevolgde hyperlink" xfId="3497" builtinId="9" hidden="1"/>
    <cellStyle name="Gevolgde hyperlink" xfId="3499" builtinId="9" hidden="1"/>
    <cellStyle name="Gevolgde hyperlink" xfId="3501" builtinId="9" hidden="1"/>
    <cellStyle name="Gevolgde hyperlink" xfId="3503" builtinId="9" hidden="1"/>
    <cellStyle name="Gevolgde hyperlink" xfId="3505" builtinId="9" hidden="1"/>
    <cellStyle name="Gevolgde hyperlink" xfId="3507" builtinId="9" hidden="1"/>
    <cellStyle name="Gevolgde hyperlink" xfId="3509" builtinId="9" hidden="1"/>
    <cellStyle name="Gevolgde hyperlink" xfId="3511" builtinId="9" hidden="1"/>
    <cellStyle name="Gevolgde hyperlink" xfId="3513" builtinId="9" hidden="1"/>
    <cellStyle name="Gevolgde hyperlink" xfId="3515" builtinId="9" hidden="1"/>
    <cellStyle name="Gevolgde hyperlink" xfId="3517" builtinId="9" hidden="1"/>
    <cellStyle name="Gevolgde hyperlink" xfId="3519" builtinId="9" hidden="1"/>
    <cellStyle name="Gevolgde hyperlink" xfId="3521" builtinId="9" hidden="1"/>
    <cellStyle name="Gevolgde hyperlink" xfId="3523" builtinId="9" hidden="1"/>
    <cellStyle name="Gevolgde hyperlink" xfId="3525" builtinId="9" hidden="1"/>
    <cellStyle name="Gevolgde hyperlink" xfId="3527" builtinId="9" hidden="1"/>
    <cellStyle name="Gevolgde hyperlink" xfId="3529" builtinId="9" hidden="1"/>
    <cellStyle name="Gevolgde hyperlink" xfId="3531" builtinId="9" hidden="1"/>
    <cellStyle name="Gevolgde hyperlink" xfId="3533" builtinId="9" hidden="1"/>
    <cellStyle name="Gevolgde hyperlink" xfId="3535" builtinId="9" hidden="1"/>
    <cellStyle name="Gevolgde hyperlink" xfId="3537" builtinId="9" hidden="1"/>
    <cellStyle name="Gevolgde hyperlink" xfId="3539" builtinId="9" hidden="1"/>
    <cellStyle name="Gevolgde hyperlink" xfId="3541" builtinId="9" hidden="1"/>
    <cellStyle name="Gevolgde hyperlink" xfId="3543" builtinId="9" hidden="1"/>
    <cellStyle name="Gevolgde hyperlink" xfId="3545" builtinId="9" hidden="1"/>
    <cellStyle name="Gevolgde hyperlink" xfId="3547" builtinId="9" hidden="1"/>
    <cellStyle name="Gevolgde hyperlink" xfId="3549" builtinId="9" hidden="1"/>
    <cellStyle name="Gevolgde hyperlink" xfId="3551" builtinId="9" hidden="1"/>
    <cellStyle name="Gevolgde hyperlink" xfId="3553" builtinId="9" hidden="1"/>
    <cellStyle name="Gevolgde hyperlink" xfId="3555" builtinId="9" hidden="1"/>
    <cellStyle name="Gevolgde hyperlink" xfId="3557" builtinId="9" hidden="1"/>
    <cellStyle name="Gevolgde hyperlink" xfId="3559" builtinId="9" hidden="1"/>
    <cellStyle name="Gevolgde hyperlink" xfId="3561" builtinId="9" hidden="1"/>
    <cellStyle name="Gevolgde hyperlink" xfId="3563" builtinId="9" hidden="1"/>
    <cellStyle name="Gevolgde hyperlink" xfId="3565" builtinId="9" hidden="1"/>
    <cellStyle name="Gevolgde hyperlink" xfId="3567" builtinId="9" hidden="1"/>
    <cellStyle name="Gevolgde hyperlink" xfId="3569" builtinId="9" hidden="1"/>
    <cellStyle name="Gevolgde hyperlink" xfId="3571" builtinId="9" hidden="1"/>
    <cellStyle name="Gevolgde hyperlink" xfId="3573" builtinId="9" hidden="1"/>
    <cellStyle name="Gevolgde hyperlink" xfId="3575" builtinId="9" hidden="1"/>
    <cellStyle name="Gevolgde hyperlink" xfId="3577" builtinId="9" hidden="1"/>
    <cellStyle name="Gevolgde hyperlink" xfId="3579" builtinId="9" hidden="1"/>
    <cellStyle name="Gevolgde hyperlink" xfId="3581" builtinId="9" hidden="1"/>
    <cellStyle name="Gevolgde hyperlink" xfId="3583" builtinId="9" hidden="1"/>
    <cellStyle name="Gevolgde hyperlink" xfId="3585" builtinId="9" hidden="1"/>
    <cellStyle name="Gevolgde hyperlink" xfId="3587" builtinId="9" hidden="1"/>
    <cellStyle name="Gevolgde hyperlink" xfId="3589" builtinId="9" hidden="1"/>
    <cellStyle name="Gevolgde hyperlink" xfId="3591" builtinId="9" hidden="1"/>
    <cellStyle name="Gevolgde hyperlink" xfId="3593" builtinId="9" hidden="1"/>
    <cellStyle name="Gevolgde hyperlink" xfId="3595" builtinId="9" hidden="1"/>
    <cellStyle name="Gevolgde hyperlink" xfId="3597" builtinId="9" hidden="1"/>
    <cellStyle name="Gevolgde hyperlink" xfId="3599" builtinId="9" hidden="1"/>
    <cellStyle name="Gevolgde hyperlink" xfId="3601" builtinId="9" hidden="1"/>
    <cellStyle name="Gevolgde hyperlink" xfId="3603" builtinId="9" hidden="1"/>
    <cellStyle name="Gevolgde hyperlink" xfId="3605" builtinId="9" hidden="1"/>
    <cellStyle name="Gevolgde hyperlink" xfId="3607" builtinId="9" hidden="1"/>
    <cellStyle name="Gevolgde hyperlink" xfId="3609" builtinId="9" hidden="1"/>
    <cellStyle name="Gevolgde hyperlink" xfId="3611" builtinId="9" hidden="1"/>
    <cellStyle name="Gevolgde hyperlink" xfId="3613" builtinId="9" hidden="1"/>
    <cellStyle name="Gevolgde hyperlink" xfId="3615" builtinId="9" hidden="1"/>
    <cellStyle name="Gevolgde hyperlink" xfId="3617" builtinId="9" hidden="1"/>
    <cellStyle name="Gevolgde hyperlink" xfId="3619" builtinId="9" hidden="1"/>
    <cellStyle name="Gevolgde hyperlink" xfId="3621" builtinId="9" hidden="1"/>
    <cellStyle name="Gevolgde hyperlink" xfId="3623" builtinId="9" hidden="1"/>
    <cellStyle name="Gevolgde hyperlink" xfId="3625" builtinId="9" hidden="1"/>
    <cellStyle name="Gevolgde hyperlink" xfId="3627" builtinId="9" hidden="1"/>
    <cellStyle name="Gevolgde hyperlink" xfId="3629" builtinId="9" hidden="1"/>
    <cellStyle name="Gevolgde hyperlink" xfId="3631" builtinId="9" hidden="1"/>
    <cellStyle name="Gevolgde hyperlink" xfId="3633" builtinId="9" hidden="1"/>
    <cellStyle name="Gevolgde hyperlink" xfId="3635" builtinId="9" hidden="1"/>
    <cellStyle name="Gevolgde hyperlink" xfId="3637" builtinId="9" hidden="1"/>
    <cellStyle name="Gevolgde hyperlink" xfId="3639" builtinId="9" hidden="1"/>
    <cellStyle name="Gevolgde hyperlink" xfId="3641" builtinId="9" hidden="1"/>
    <cellStyle name="Gevolgde hyperlink" xfId="3643" builtinId="9" hidden="1"/>
    <cellStyle name="Gevolgde hyperlink" xfId="3645" builtinId="9" hidden="1"/>
    <cellStyle name="Gevolgde hyperlink" xfId="3647" builtinId="9" hidden="1"/>
    <cellStyle name="Gevolgde hyperlink" xfId="3649" builtinId="9" hidden="1"/>
    <cellStyle name="Gevolgde hyperlink" xfId="3651" builtinId="9" hidden="1"/>
    <cellStyle name="Gevolgde hyperlink" xfId="3653" builtinId="9" hidden="1"/>
    <cellStyle name="Gevolgde hyperlink" xfId="3655" builtinId="9" hidden="1"/>
    <cellStyle name="Gevolgde hyperlink" xfId="3657" builtinId="9" hidden="1"/>
    <cellStyle name="Gevolgde hyperlink" xfId="3659" builtinId="9" hidden="1"/>
    <cellStyle name="Gevolgde hyperlink" xfId="3661" builtinId="9" hidden="1"/>
    <cellStyle name="Gevolgde hyperlink" xfId="3663" builtinId="9" hidden="1"/>
    <cellStyle name="Gevolgde hyperlink" xfId="3665" builtinId="9" hidden="1"/>
    <cellStyle name="Gevolgde hyperlink" xfId="3667" builtinId="9" hidden="1"/>
    <cellStyle name="Gevolgde hyperlink" xfId="3669" builtinId="9" hidden="1"/>
    <cellStyle name="Gevolgde hyperlink" xfId="3671" builtinId="9" hidden="1"/>
    <cellStyle name="Gevolgde hyperlink" xfId="3673" builtinId="9" hidden="1"/>
    <cellStyle name="Gevolgde hyperlink" xfId="3675" builtinId="9" hidden="1"/>
    <cellStyle name="Gevolgde hyperlink" xfId="3677" builtinId="9" hidden="1"/>
    <cellStyle name="Gevolgde hyperlink" xfId="3679" builtinId="9" hidden="1"/>
    <cellStyle name="Gevolgde hyperlink" xfId="3681" builtinId="9" hidden="1"/>
    <cellStyle name="Gevolgde hyperlink" xfId="3683" builtinId="9" hidden="1"/>
    <cellStyle name="Gevolgde hyperlink" xfId="3685" builtinId="9" hidden="1"/>
    <cellStyle name="Gevolgde hyperlink" xfId="3687" builtinId="9" hidden="1"/>
    <cellStyle name="Gevolgde hyperlink" xfId="3689" builtinId="9" hidden="1"/>
    <cellStyle name="Gevolgde hyperlink" xfId="3691" builtinId="9" hidden="1"/>
    <cellStyle name="Gevolgde hyperlink" xfId="3693" builtinId="9" hidden="1"/>
    <cellStyle name="Gevolgde hyperlink" xfId="3695" builtinId="9" hidden="1"/>
    <cellStyle name="Gevolgde hyperlink" xfId="3697" builtinId="9" hidden="1"/>
    <cellStyle name="Gevolgde hyperlink" xfId="3699" builtinId="9" hidden="1"/>
    <cellStyle name="Gevolgde hyperlink" xfId="3701" builtinId="9" hidden="1"/>
    <cellStyle name="Gevolgde hyperlink" xfId="3703" builtinId="9" hidden="1"/>
    <cellStyle name="Gevolgde hyperlink" xfId="3705" builtinId="9" hidden="1"/>
    <cellStyle name="Gevolgde hyperlink" xfId="3707" builtinId="9" hidden="1"/>
    <cellStyle name="Gevolgde hyperlink" xfId="3709" builtinId="9" hidden="1"/>
    <cellStyle name="Gevolgde hyperlink" xfId="3711" builtinId="9" hidden="1"/>
    <cellStyle name="Gevolgde hyperlink" xfId="3713" builtinId="9" hidden="1"/>
    <cellStyle name="Gevolgde hyperlink" xfId="3715" builtinId="9" hidden="1"/>
    <cellStyle name="Gevolgde hyperlink" xfId="3717" builtinId="9" hidden="1"/>
    <cellStyle name="Gevolgde hyperlink" xfId="3719" builtinId="9" hidden="1"/>
    <cellStyle name="Gevolgde hyperlink" xfId="3721" builtinId="9" hidden="1"/>
    <cellStyle name="Gevolgde hyperlink" xfId="3723" builtinId="9" hidden="1"/>
    <cellStyle name="Gevolgde hyperlink" xfId="3725" builtinId="9" hidden="1"/>
    <cellStyle name="Gevolgde hyperlink" xfId="3727" builtinId="9" hidden="1"/>
    <cellStyle name="Gevolgde hyperlink" xfId="3729" builtinId="9" hidden="1"/>
    <cellStyle name="Gevolgde hyperlink" xfId="3731" builtinId="9" hidden="1"/>
    <cellStyle name="Gevolgde hyperlink" xfId="3733" builtinId="9" hidden="1"/>
    <cellStyle name="Gevolgde hyperlink" xfId="3735" builtinId="9" hidden="1"/>
    <cellStyle name="Gevolgde hyperlink" xfId="3737" builtinId="9" hidden="1"/>
    <cellStyle name="Gevolgde hyperlink" xfId="3739" builtinId="9" hidden="1"/>
    <cellStyle name="Gevolgde hyperlink" xfId="3741" builtinId="9" hidden="1"/>
    <cellStyle name="Gevolgde hyperlink" xfId="3743" builtinId="9" hidden="1"/>
    <cellStyle name="Gevolgde hyperlink" xfId="3745" builtinId="9" hidden="1"/>
    <cellStyle name="Gevolgde hyperlink" xfId="3747" builtinId="9" hidden="1"/>
    <cellStyle name="Gevolgde hyperlink" xfId="3749" builtinId="9" hidden="1"/>
    <cellStyle name="Gevolgde hyperlink" xfId="3751" builtinId="9" hidden="1"/>
    <cellStyle name="Gevolgde hyperlink" xfId="3753" builtinId="9" hidden="1"/>
    <cellStyle name="Gevolgde hyperlink" xfId="3755" builtinId="9" hidden="1"/>
    <cellStyle name="Gevolgde hyperlink" xfId="3757" builtinId="9" hidden="1"/>
    <cellStyle name="Gevolgde hyperlink" xfId="3759" builtinId="9" hidden="1"/>
    <cellStyle name="Gevolgde hyperlink" xfId="3761" builtinId="9" hidden="1"/>
    <cellStyle name="Gevolgde hyperlink" xfId="3763" builtinId="9" hidden="1"/>
    <cellStyle name="Gevolgde hyperlink" xfId="3765" builtinId="9" hidden="1"/>
    <cellStyle name="Gevolgde hyperlink" xfId="3767" builtinId="9" hidden="1"/>
    <cellStyle name="Gevolgde hyperlink" xfId="3769" builtinId="9" hidden="1"/>
    <cellStyle name="Gevolgde hyperlink" xfId="3771" builtinId="9" hidden="1"/>
    <cellStyle name="Gevolgde hyperlink" xfId="3773" builtinId="9" hidden="1"/>
    <cellStyle name="Gevolgde hyperlink" xfId="3775" builtinId="9" hidden="1"/>
    <cellStyle name="Gevolgde hyperlink" xfId="3777" builtinId="9" hidden="1"/>
    <cellStyle name="Gevolgde hyperlink" xfId="3779" builtinId="9" hidden="1"/>
    <cellStyle name="Gevolgde hyperlink" xfId="3781" builtinId="9" hidden="1"/>
    <cellStyle name="Gevolgde hyperlink" xfId="3783" builtinId="9" hidden="1"/>
    <cellStyle name="Gevolgde hyperlink" xfId="3785" builtinId="9" hidden="1"/>
    <cellStyle name="Gevolgde hyperlink" xfId="3787" builtinId="9" hidden="1"/>
    <cellStyle name="Gevolgde hyperlink" xfId="3789" builtinId="9" hidden="1"/>
    <cellStyle name="Gevolgde hyperlink" xfId="3791" builtinId="9" hidden="1"/>
    <cellStyle name="Gevolgde hyperlink" xfId="3793" builtinId="9" hidden="1"/>
    <cellStyle name="Gevolgde hyperlink" xfId="3795" builtinId="9" hidden="1"/>
    <cellStyle name="Gevolgde hyperlink" xfId="3797" builtinId="9" hidden="1"/>
    <cellStyle name="Gevolgde hyperlink" xfId="3799" builtinId="9" hidden="1"/>
    <cellStyle name="Gevolgde hyperlink" xfId="3801" builtinId="9" hidden="1"/>
    <cellStyle name="Gevolgde hyperlink" xfId="3803" builtinId="9" hidden="1"/>
    <cellStyle name="Gevolgde hyperlink" xfId="3805" builtinId="9" hidden="1"/>
    <cellStyle name="Gevolgde hyperlink" xfId="3807" builtinId="9" hidden="1"/>
    <cellStyle name="Gevolgde hyperlink" xfId="3809" builtinId="9" hidden="1"/>
    <cellStyle name="Gevolgde hyperlink" xfId="3811" builtinId="9" hidden="1"/>
    <cellStyle name="Gevolgde hyperlink" xfId="3813" builtinId="9" hidden="1"/>
    <cellStyle name="Gevolgde hyperlink" xfId="3815" builtinId="9" hidden="1"/>
    <cellStyle name="Gevolgde hyperlink" xfId="3817" builtinId="9" hidden="1"/>
    <cellStyle name="Gevolgde hyperlink" xfId="3819" builtinId="9" hidden="1"/>
    <cellStyle name="Gevolgde hyperlink" xfId="3821" builtinId="9" hidden="1"/>
    <cellStyle name="Gevolgde hyperlink" xfId="3823" builtinId="9" hidden="1"/>
    <cellStyle name="Gevolgde hyperlink" xfId="3825" builtinId="9" hidden="1"/>
    <cellStyle name="Gevolgde hyperlink" xfId="3827" builtinId="9" hidden="1"/>
    <cellStyle name="Gevolgde hyperlink" xfId="3829" builtinId="9" hidden="1"/>
    <cellStyle name="Gevolgde hyperlink" xfId="3831" builtinId="9" hidden="1"/>
    <cellStyle name="Gevolgde hyperlink" xfId="3833" builtinId="9" hidden="1"/>
    <cellStyle name="Gevolgde hyperlink" xfId="3835" builtinId="9" hidden="1"/>
    <cellStyle name="Gevolgde hyperlink" xfId="3837" builtinId="9" hidden="1"/>
    <cellStyle name="Gevolgde hyperlink" xfId="3839" builtinId="9" hidden="1"/>
    <cellStyle name="Gevolgde hyperlink" xfId="3841" builtinId="9" hidden="1"/>
    <cellStyle name="Gevolgde hyperlink" xfId="3843" builtinId="9" hidden="1"/>
    <cellStyle name="Gevolgde hyperlink" xfId="3845" builtinId="9" hidden="1"/>
    <cellStyle name="Gevolgde hyperlink" xfId="3847" builtinId="9" hidden="1"/>
    <cellStyle name="Gevolgde hyperlink" xfId="3849" builtinId="9" hidden="1"/>
    <cellStyle name="Gevolgde hyperlink" xfId="3851" builtinId="9" hidden="1"/>
    <cellStyle name="Gevolgde hyperlink" xfId="3853" builtinId="9" hidden="1"/>
    <cellStyle name="Gevolgde hyperlink" xfId="3855" builtinId="9" hidden="1"/>
    <cellStyle name="Gevolgde hyperlink" xfId="3857" builtinId="9" hidden="1"/>
    <cellStyle name="Gevolgde hyperlink" xfId="3859" builtinId="9" hidden="1"/>
    <cellStyle name="Gevolgde hyperlink" xfId="3861" builtinId="9" hidden="1"/>
    <cellStyle name="Gevolgde hyperlink" xfId="3863" builtinId="9" hidden="1"/>
    <cellStyle name="Gevolgde hyperlink" xfId="3865" builtinId="9" hidden="1"/>
    <cellStyle name="Gevolgde hyperlink" xfId="3867" builtinId="9" hidden="1"/>
    <cellStyle name="Gevolgde hyperlink" xfId="3869" builtinId="9" hidden="1"/>
    <cellStyle name="Gevolgde hyperlink" xfId="3871" builtinId="9" hidden="1"/>
    <cellStyle name="Gevolgde hyperlink" xfId="3873" builtinId="9" hidden="1"/>
    <cellStyle name="Gevolgde hyperlink" xfId="3875" builtinId="9" hidden="1"/>
    <cellStyle name="Gevolgde hyperlink" xfId="3877" builtinId="9" hidden="1"/>
    <cellStyle name="Gevolgde hyperlink" xfId="3879" builtinId="9" hidden="1"/>
    <cellStyle name="Gevolgde hyperlink" xfId="3881" builtinId="9" hidden="1"/>
    <cellStyle name="Gevolgde hyperlink" xfId="3883" builtinId="9" hidden="1"/>
    <cellStyle name="Gevolgde hyperlink" xfId="3885" builtinId="9" hidden="1"/>
    <cellStyle name="Gevolgde hyperlink" xfId="3887" builtinId="9" hidden="1"/>
    <cellStyle name="Gevolgde hyperlink" xfId="3889" builtinId="9" hidden="1"/>
    <cellStyle name="Gevolgde hyperlink" xfId="3891" builtinId="9" hidden="1"/>
    <cellStyle name="Gevolgde hyperlink" xfId="3893" builtinId="9" hidden="1"/>
    <cellStyle name="Gevolgde hyperlink" xfId="3895" builtinId="9" hidden="1"/>
    <cellStyle name="Gevolgde hyperlink" xfId="3897" builtinId="9" hidden="1"/>
    <cellStyle name="Gevolgde hyperlink" xfId="3899" builtinId="9" hidden="1"/>
    <cellStyle name="Gevolgde hyperlink" xfId="3901" builtinId="9" hidden="1"/>
    <cellStyle name="Gevolgde hyperlink" xfId="3903" builtinId="9" hidden="1"/>
    <cellStyle name="Gevolgde hyperlink" xfId="3905" builtinId="9" hidden="1"/>
    <cellStyle name="Gevolgde hyperlink" xfId="3907" builtinId="9" hidden="1"/>
    <cellStyle name="Gevolgde hyperlink" xfId="3909" builtinId="9" hidden="1"/>
    <cellStyle name="Gevolgde hyperlink" xfId="3911" builtinId="9" hidden="1"/>
    <cellStyle name="Gevolgde hyperlink" xfId="3913" builtinId="9" hidden="1"/>
    <cellStyle name="Gevolgde hyperlink" xfId="3915" builtinId="9" hidden="1"/>
    <cellStyle name="Gevolgde hyperlink" xfId="3917" builtinId="9" hidden="1"/>
    <cellStyle name="Gevolgde hyperlink" xfId="3919" builtinId="9" hidden="1"/>
    <cellStyle name="Gevolgde hyperlink" xfId="3921" builtinId="9" hidden="1"/>
    <cellStyle name="Gevolgde hyperlink" xfId="3923" builtinId="9" hidden="1"/>
    <cellStyle name="Gevolgde hyperlink" xfId="3925" builtinId="9" hidden="1"/>
    <cellStyle name="Gevolgde hyperlink" xfId="3927" builtinId="9" hidden="1"/>
    <cellStyle name="Gevolgde hyperlink" xfId="3929" builtinId="9" hidden="1"/>
    <cellStyle name="Gevolgde hyperlink" xfId="3931" builtinId="9" hidden="1"/>
    <cellStyle name="Gevolgde hyperlink" xfId="3933" builtinId="9" hidden="1"/>
    <cellStyle name="Gevolgde hyperlink" xfId="3935" builtinId="9" hidden="1"/>
    <cellStyle name="Gevolgde hyperlink" xfId="3937" builtinId="9" hidden="1"/>
    <cellStyle name="Gevolgde hyperlink" xfId="3939" builtinId="9" hidden="1"/>
    <cellStyle name="Gevolgde hyperlink" xfId="3941" builtinId="9" hidden="1"/>
    <cellStyle name="Gevolgde hyperlink" xfId="3943" builtinId="9" hidden="1"/>
    <cellStyle name="Gevolgde hyperlink" xfId="3945" builtinId="9" hidden="1"/>
    <cellStyle name="Gevolgde hyperlink" xfId="3947" builtinId="9" hidden="1"/>
    <cellStyle name="Gevolgde hyperlink" xfId="3949" builtinId="9" hidden="1"/>
    <cellStyle name="Gevolgde hyperlink" xfId="3951" builtinId="9" hidden="1"/>
    <cellStyle name="Gevolgde hyperlink" xfId="3953" builtinId="9" hidden="1"/>
    <cellStyle name="Gevolgde hyperlink" xfId="3955" builtinId="9" hidden="1"/>
    <cellStyle name="Gevolgde hyperlink" xfId="3957" builtinId="9" hidden="1"/>
    <cellStyle name="Gevolgde hyperlink" xfId="3959" builtinId="9" hidden="1"/>
    <cellStyle name="Gevolgde hyperlink" xfId="3961" builtinId="9" hidden="1"/>
    <cellStyle name="Gevolgde hyperlink" xfId="3963" builtinId="9" hidden="1"/>
    <cellStyle name="Gevolgde hyperlink" xfId="3965" builtinId="9" hidden="1"/>
    <cellStyle name="Gevolgde hyperlink" xfId="3967" builtinId="9" hidden="1"/>
    <cellStyle name="Gevolgde hyperlink" xfId="3969" builtinId="9" hidden="1"/>
    <cellStyle name="Gevolgde hyperlink" xfId="3971" builtinId="9" hidden="1"/>
    <cellStyle name="Gevolgde hyperlink" xfId="3973" builtinId="9" hidden="1"/>
    <cellStyle name="Gevolgde hyperlink" xfId="3975" builtinId="9" hidden="1"/>
    <cellStyle name="Gevolgde hyperlink" xfId="3977" builtinId="9" hidden="1"/>
    <cellStyle name="Gevolgde hyperlink" xfId="3979" builtinId="9" hidden="1"/>
    <cellStyle name="Gevolgde hyperlink" xfId="3981" builtinId="9" hidden="1"/>
    <cellStyle name="Gevolgde hyperlink" xfId="3983" builtinId="9" hidden="1"/>
    <cellStyle name="Gevolgde hyperlink" xfId="3985" builtinId="9" hidden="1"/>
    <cellStyle name="Gevolgde hyperlink" xfId="3987" builtinId="9" hidden="1"/>
    <cellStyle name="Gevolgde hyperlink" xfId="3989" builtinId="9" hidden="1"/>
    <cellStyle name="Gevolgde hyperlink" xfId="3991" builtinId="9" hidden="1"/>
    <cellStyle name="Gevolgde hyperlink" xfId="3993" builtinId="9" hidden="1"/>
    <cellStyle name="Gevolgde hyperlink" xfId="3995" builtinId="9" hidden="1"/>
    <cellStyle name="Gevolgde hyperlink" xfId="3997" builtinId="9" hidden="1"/>
    <cellStyle name="Gevolgde hyperlink" xfId="3999" builtinId="9" hidden="1"/>
    <cellStyle name="Gevolgde hyperlink" xfId="4001" builtinId="9" hidden="1"/>
    <cellStyle name="Gevolgde hyperlink" xfId="4003" builtinId="9" hidden="1"/>
    <cellStyle name="Gevolgde hyperlink" xfId="4005" builtinId="9" hidden="1"/>
    <cellStyle name="Gevolgde hyperlink" xfId="4007" builtinId="9" hidden="1"/>
    <cellStyle name="Gevolgde hyperlink" xfId="4009" builtinId="9" hidden="1"/>
    <cellStyle name="Gevolgde hyperlink" xfId="4011" builtinId="9" hidden="1"/>
    <cellStyle name="Gevolgde hyperlink" xfId="4013" builtinId="9" hidden="1"/>
    <cellStyle name="Gevolgde hyperlink" xfId="4015" builtinId="9" hidden="1"/>
    <cellStyle name="Gevolgde hyperlink" xfId="4017" builtinId="9" hidden="1"/>
    <cellStyle name="Gevolgde hyperlink" xfId="4019" builtinId="9" hidden="1"/>
    <cellStyle name="Gevolgde hyperlink" xfId="4021" builtinId="9" hidden="1"/>
    <cellStyle name="Gevolgde hyperlink" xfId="4023" builtinId="9" hidden="1"/>
    <cellStyle name="Gevolgde hyperlink" xfId="4025" builtinId="9" hidden="1"/>
    <cellStyle name="Gevolgde hyperlink" xfId="4027" builtinId="9" hidden="1"/>
    <cellStyle name="Gevolgde hyperlink" xfId="4029" builtinId="9" hidden="1"/>
    <cellStyle name="Gevolgde hyperlink" xfId="4031" builtinId="9" hidden="1"/>
    <cellStyle name="Gevolgde hyperlink" xfId="4033" builtinId="9" hidden="1"/>
    <cellStyle name="Gevolgde hyperlink" xfId="4035" builtinId="9" hidden="1"/>
    <cellStyle name="Gevolgde hyperlink" xfId="4037" builtinId="9" hidden="1"/>
    <cellStyle name="Gevolgde hyperlink" xfId="4039" builtinId="9" hidden="1"/>
    <cellStyle name="Gevolgde hyperlink" xfId="4041" builtinId="9" hidden="1"/>
    <cellStyle name="Gevolgde hyperlink" xfId="4043" builtinId="9" hidden="1"/>
    <cellStyle name="Gevolgde hyperlink" xfId="4045" builtinId="9" hidden="1"/>
    <cellStyle name="Gevolgde hyperlink" xfId="4047" builtinId="9" hidden="1"/>
    <cellStyle name="Gevolgde hyperlink" xfId="4049" builtinId="9" hidden="1"/>
    <cellStyle name="Gevolgde hyperlink" xfId="4051" builtinId="9" hidden="1"/>
    <cellStyle name="Gevolgde hyperlink" xfId="4053" builtinId="9" hidden="1"/>
    <cellStyle name="Gevolgde hyperlink" xfId="4055" builtinId="9" hidden="1"/>
    <cellStyle name="Gevolgde hyperlink" xfId="4057" builtinId="9" hidden="1"/>
    <cellStyle name="Gevolgde hyperlink" xfId="4059" builtinId="9" hidden="1"/>
    <cellStyle name="Gevolgde hyperlink" xfId="4061" builtinId="9" hidden="1"/>
    <cellStyle name="Gevolgde hyperlink" xfId="4063" builtinId="9" hidden="1"/>
    <cellStyle name="Gevolgde hyperlink" xfId="4065" builtinId="9" hidden="1"/>
    <cellStyle name="Gevolgde hyperlink" xfId="4067" builtinId="9" hidden="1"/>
    <cellStyle name="Gevolgde hyperlink" xfId="4069" builtinId="9" hidden="1"/>
    <cellStyle name="Gevolgde hyperlink" xfId="4071" builtinId="9" hidden="1"/>
    <cellStyle name="Gevolgde hyperlink" xfId="4073" builtinId="9" hidden="1"/>
    <cellStyle name="Gevolgde hyperlink" xfId="4075" builtinId="9" hidden="1"/>
    <cellStyle name="Gevolgde hyperlink" xfId="4077" builtinId="9" hidden="1"/>
    <cellStyle name="Gevolgde hyperlink" xfId="4079" builtinId="9" hidden="1"/>
    <cellStyle name="Gevolgde hyperlink" xfId="4081" builtinId="9" hidden="1"/>
    <cellStyle name="Gevolgde hyperlink" xfId="4083" builtinId="9" hidden="1"/>
    <cellStyle name="Gevolgde hyperlink" xfId="4085" builtinId="9" hidden="1"/>
    <cellStyle name="Gevolgde hyperlink" xfId="4087" builtinId="9" hidden="1"/>
    <cellStyle name="Gevolgde hyperlink" xfId="4089" builtinId="9" hidden="1"/>
    <cellStyle name="Gevolgde hyperlink" xfId="4091" builtinId="9" hidden="1"/>
    <cellStyle name="Gevolgde hyperlink" xfId="4093" builtinId="9" hidden="1"/>
    <cellStyle name="Gevolgde hyperlink" xfId="4095" builtinId="9" hidden="1"/>
    <cellStyle name="Gevolgde hyperlink" xfId="4097" builtinId="9" hidden="1"/>
    <cellStyle name="Gevolgde hyperlink" xfId="4099" builtinId="9" hidden="1"/>
    <cellStyle name="Gevolgde hyperlink" xfId="4101" builtinId="9" hidden="1"/>
    <cellStyle name="Gevolgde hyperlink" xfId="4103" builtinId="9" hidden="1"/>
    <cellStyle name="Gevolgde hyperlink" xfId="4105" builtinId="9" hidden="1"/>
    <cellStyle name="Gevolgde hyperlink" xfId="4107" builtinId="9" hidden="1"/>
    <cellStyle name="Gevolgde hyperlink" xfId="4109" builtinId="9" hidden="1"/>
    <cellStyle name="Gevolgde hyperlink" xfId="4111" builtinId="9" hidden="1"/>
    <cellStyle name="Gevolgde hyperlink" xfId="4113" builtinId="9" hidden="1"/>
    <cellStyle name="Gevolgde hyperlink" xfId="4115" builtinId="9" hidden="1"/>
    <cellStyle name="Gevolgde hyperlink" xfId="4117" builtinId="9" hidden="1"/>
    <cellStyle name="Gevolgde hyperlink" xfId="4119" builtinId="9" hidden="1"/>
    <cellStyle name="Gevolgde hyperlink" xfId="4121" builtinId="9" hidden="1"/>
    <cellStyle name="Gevolgde hyperlink" xfId="4123" builtinId="9" hidden="1"/>
    <cellStyle name="Gevolgde hyperlink" xfId="4125" builtinId="9" hidden="1"/>
    <cellStyle name="Gevolgde hyperlink" xfId="4127" builtinId="9" hidden="1"/>
    <cellStyle name="Gevolgde hyperlink" xfId="4129" builtinId="9" hidden="1"/>
    <cellStyle name="Gevolgde hyperlink" xfId="4131" builtinId="9" hidden="1"/>
    <cellStyle name="Gevolgde hyperlink" xfId="4133" builtinId="9" hidden="1"/>
    <cellStyle name="Gevolgde hyperlink" xfId="4135" builtinId="9" hidden="1"/>
    <cellStyle name="Gevolgde hyperlink" xfId="4137" builtinId="9" hidden="1"/>
    <cellStyle name="Gevolgde hyperlink" xfId="4139" builtinId="9" hidden="1"/>
    <cellStyle name="Gevolgde hyperlink" xfId="4141" builtinId="9" hidden="1"/>
    <cellStyle name="Gevolgde hyperlink" xfId="4143" builtinId="9" hidden="1"/>
    <cellStyle name="Gevolgde hyperlink" xfId="4145" builtinId="9" hidden="1"/>
    <cellStyle name="Gevolgde hyperlink" xfId="4147" builtinId="9" hidden="1"/>
    <cellStyle name="Gevolgde hyperlink" xfId="4149" builtinId="9" hidden="1"/>
    <cellStyle name="Gevolgde hyperlink" xfId="4151" builtinId="9" hidden="1"/>
    <cellStyle name="Gevolgde hyperlink" xfId="4153" builtinId="9" hidden="1"/>
    <cellStyle name="Gevolgde hyperlink" xfId="4155" builtinId="9" hidden="1"/>
    <cellStyle name="Gevolgde hyperlink" xfId="4157" builtinId="9" hidden="1"/>
    <cellStyle name="Gevolgde hyperlink" xfId="4159" builtinId="9" hidden="1"/>
    <cellStyle name="Gevolgde hyperlink" xfId="4161" builtinId="9" hidden="1"/>
    <cellStyle name="Gevolgde hyperlink" xfId="4163" builtinId="9" hidden="1"/>
    <cellStyle name="Gevolgde hyperlink" xfId="4165" builtinId="9" hidden="1"/>
    <cellStyle name="Gevolgde hyperlink" xfId="4167" builtinId="9" hidden="1"/>
    <cellStyle name="Gevolgde hyperlink" xfId="4169" builtinId="9" hidden="1"/>
    <cellStyle name="Gevolgde hyperlink" xfId="4171" builtinId="9" hidden="1"/>
    <cellStyle name="Gevolgde hyperlink" xfId="4173" builtinId="9" hidden="1"/>
    <cellStyle name="Gevolgde hyperlink" xfId="4175" builtinId="9" hidden="1"/>
    <cellStyle name="Gevolgde hyperlink" xfId="4177" builtinId="9" hidden="1"/>
    <cellStyle name="Gevolgde hyperlink" xfId="4179" builtinId="9" hidden="1"/>
    <cellStyle name="Gevolgde hyperlink" xfId="4181" builtinId="9" hidden="1"/>
    <cellStyle name="Gevolgde hyperlink" xfId="4183" builtinId="9" hidden="1"/>
    <cellStyle name="Gevolgde hyperlink" xfId="4185" builtinId="9" hidden="1"/>
    <cellStyle name="Gevolgde hyperlink" xfId="4187" builtinId="9" hidden="1"/>
    <cellStyle name="Gevolgde hyperlink" xfId="4189" builtinId="9" hidden="1"/>
    <cellStyle name="Gevolgde hyperlink" xfId="4191" builtinId="9" hidden="1"/>
    <cellStyle name="Gevolgde hyperlink" xfId="4193" builtinId="9" hidden="1"/>
    <cellStyle name="Gevolgde hyperlink" xfId="4195" builtinId="9" hidden="1"/>
    <cellStyle name="Gevolgde hyperlink" xfId="4197" builtinId="9" hidden="1"/>
    <cellStyle name="Gevolgde hyperlink" xfId="4199" builtinId="9" hidden="1"/>
    <cellStyle name="Gevolgde hyperlink" xfId="4201" builtinId="9" hidden="1"/>
    <cellStyle name="Gevolgde hyperlink" xfId="4203" builtinId="9" hidden="1"/>
    <cellStyle name="Gevolgde hyperlink" xfId="4205" builtinId="9" hidden="1"/>
    <cellStyle name="Gevolgde hyperlink" xfId="4207" builtinId="9" hidden="1"/>
    <cellStyle name="Gevolgde hyperlink" xfId="4209" builtinId="9" hidden="1"/>
    <cellStyle name="Gevolgde hyperlink" xfId="4211" builtinId="9" hidden="1"/>
    <cellStyle name="Gevolgde hyperlink" xfId="4213" builtinId="9" hidden="1"/>
    <cellStyle name="Gevolgde hyperlink" xfId="4215" builtinId="9" hidden="1"/>
    <cellStyle name="Gevolgde hyperlink" xfId="4217" builtinId="9" hidden="1"/>
    <cellStyle name="Gevolgde hyperlink" xfId="4219" builtinId="9" hidden="1"/>
    <cellStyle name="Gevolgde hyperlink" xfId="4221" builtinId="9" hidden="1"/>
    <cellStyle name="Gevolgde hyperlink" xfId="4223" builtinId="9" hidden="1"/>
    <cellStyle name="Gevolgde hyperlink" xfId="4225" builtinId="9" hidden="1"/>
    <cellStyle name="Gevolgde hyperlink" xfId="4227" builtinId="9" hidden="1"/>
    <cellStyle name="Gevolgde hyperlink" xfId="4229" builtinId="9" hidden="1"/>
    <cellStyle name="Gevolgde hyperlink" xfId="4231" builtinId="9" hidden="1"/>
    <cellStyle name="Gevolgde hyperlink" xfId="4233" builtinId="9" hidden="1"/>
    <cellStyle name="Gevolgde hyperlink" xfId="4235" builtinId="9" hidden="1"/>
    <cellStyle name="Gevolgde hyperlink" xfId="4237" builtinId="9" hidden="1"/>
    <cellStyle name="Gevolgde hyperlink" xfId="4239" builtinId="9" hidden="1"/>
    <cellStyle name="Gevolgde hyperlink" xfId="4241" builtinId="9" hidden="1"/>
    <cellStyle name="Gevolgde hyperlink" xfId="4243" builtinId="9" hidden="1"/>
    <cellStyle name="Gevolgde hyperlink" xfId="4245" builtinId="9" hidden="1"/>
    <cellStyle name="Gevolgde hyperlink" xfId="4247" builtinId="9" hidden="1"/>
    <cellStyle name="Gevolgde hyperlink" xfId="4249" builtinId="9" hidden="1"/>
    <cellStyle name="Gevolgde hyperlink" xfId="4251" builtinId="9" hidden="1"/>
    <cellStyle name="Gevolgde hyperlink" xfId="4253" builtinId="9" hidden="1"/>
    <cellStyle name="Gevolgde hyperlink" xfId="4255" builtinId="9" hidden="1"/>
    <cellStyle name="Gevolgde hyperlink" xfId="4257" builtinId="9" hidden="1"/>
    <cellStyle name="Gevolgde hyperlink" xfId="4259" builtinId="9" hidden="1"/>
    <cellStyle name="Gevolgde hyperlink" xfId="4261" builtinId="9" hidden="1"/>
    <cellStyle name="Gevolgde hyperlink" xfId="4263" builtinId="9" hidden="1"/>
    <cellStyle name="Gevolgde hyperlink" xfId="4265" builtinId="9" hidden="1"/>
    <cellStyle name="Gevolgde hyperlink" xfId="4267" builtinId="9" hidden="1"/>
    <cellStyle name="Gevolgde hyperlink" xfId="4269" builtinId="9" hidden="1"/>
    <cellStyle name="Gevolgde hyperlink" xfId="4271" builtinId="9" hidden="1"/>
    <cellStyle name="Gevolgde hyperlink" xfId="4273" builtinId="9" hidden="1"/>
    <cellStyle name="Gevolgde hyperlink" xfId="4275" builtinId="9" hidden="1"/>
    <cellStyle name="Gevolgde hyperlink" xfId="4277" builtinId="9" hidden="1"/>
    <cellStyle name="Gevolgde hyperlink" xfId="4279" builtinId="9" hidden="1"/>
    <cellStyle name="Gevolgde hyperlink" xfId="4281" builtinId="9" hidden="1"/>
    <cellStyle name="Gevolgde hyperlink" xfId="4283" builtinId="9" hidden="1"/>
    <cellStyle name="Gevolgde hyperlink" xfId="4285" builtinId="9" hidden="1"/>
    <cellStyle name="Gevolgde hyperlink" xfId="4287" builtinId="9" hidden="1"/>
    <cellStyle name="Gevolgde hyperlink" xfId="4289" builtinId="9" hidden="1"/>
    <cellStyle name="Gevolgde hyperlink" xfId="4291" builtinId="9" hidden="1"/>
    <cellStyle name="Gevolgde hyperlink" xfId="4293" builtinId="9" hidden="1"/>
    <cellStyle name="Gevolgde hyperlink" xfId="4295" builtinId="9" hidden="1"/>
    <cellStyle name="Gevolgde hyperlink" xfId="4297" builtinId="9" hidden="1"/>
    <cellStyle name="Gevolgde hyperlink" xfId="4299" builtinId="9" hidden="1"/>
    <cellStyle name="Gevolgde hyperlink" xfId="4301" builtinId="9" hidden="1"/>
    <cellStyle name="Gevolgde hyperlink" xfId="4303" builtinId="9" hidden="1"/>
    <cellStyle name="Gevolgde hyperlink" xfId="4305" builtinId="9" hidden="1"/>
    <cellStyle name="Gevolgde hyperlink" xfId="4307" builtinId="9" hidden="1"/>
    <cellStyle name="Gevolgde hyperlink" xfId="4309" builtinId="9" hidden="1"/>
    <cellStyle name="Gevolgde hyperlink" xfId="4311" builtinId="9" hidden="1"/>
    <cellStyle name="Gevolgde hyperlink" xfId="4313" builtinId="9" hidden="1"/>
    <cellStyle name="Gevolgde hyperlink" xfId="4315" builtinId="9" hidden="1"/>
    <cellStyle name="Gevolgde hyperlink" xfId="4317" builtinId="9" hidden="1"/>
    <cellStyle name="Gevolgde hyperlink" xfId="4319" builtinId="9" hidden="1"/>
    <cellStyle name="Gevolgde hyperlink" xfId="4321" builtinId="9" hidden="1"/>
    <cellStyle name="Gevolgde hyperlink" xfId="4323" builtinId="9" hidden="1"/>
    <cellStyle name="Gevolgde hyperlink" xfId="4325" builtinId="9" hidden="1"/>
    <cellStyle name="Gevolgde hyperlink" xfId="4327" builtinId="9" hidden="1"/>
    <cellStyle name="Gevolgde hyperlink" xfId="4329" builtinId="9" hidden="1"/>
    <cellStyle name="Gevolgde hyperlink" xfId="4331" builtinId="9" hidden="1"/>
    <cellStyle name="Gevolgde hyperlink" xfId="4333" builtinId="9" hidden="1"/>
    <cellStyle name="Gevolgde hyperlink" xfId="4335" builtinId="9" hidden="1"/>
    <cellStyle name="Gevolgde hyperlink" xfId="4337" builtinId="9" hidden="1"/>
    <cellStyle name="Gevolgde hyperlink" xfId="4339" builtinId="9" hidden="1"/>
    <cellStyle name="Gevolgde hyperlink" xfId="4341" builtinId="9" hidden="1"/>
    <cellStyle name="Gevolgde hyperlink" xfId="4343" builtinId="9" hidden="1"/>
    <cellStyle name="Gevolgde hyperlink" xfId="4345" builtinId="9" hidden="1"/>
    <cellStyle name="Gevolgde hyperlink" xfId="4347" builtinId="9" hidden="1"/>
    <cellStyle name="Gevolgde hyperlink" xfId="4349" builtinId="9" hidden="1"/>
    <cellStyle name="Gevolgde hyperlink" xfId="4351" builtinId="9" hidden="1"/>
    <cellStyle name="Gevolgde hyperlink" xfId="4353" builtinId="9" hidden="1"/>
    <cellStyle name="Gevolgde hyperlink" xfId="4355" builtinId="9" hidden="1"/>
    <cellStyle name="Gevolgde hyperlink" xfId="4357" builtinId="9" hidden="1"/>
    <cellStyle name="Gevolgde hyperlink" xfId="4359" builtinId="9" hidden="1"/>
    <cellStyle name="Gevolgde hyperlink" xfId="4361" builtinId="9" hidden="1"/>
    <cellStyle name="Gevolgde hyperlink" xfId="436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3854" builtinId="8" hidden="1"/>
    <cellStyle name="Hyperlink" xfId="3856" builtinId="8" hidden="1"/>
    <cellStyle name="Hyperlink" xfId="3858" builtinId="8" hidden="1"/>
    <cellStyle name="Hyperlink" xfId="3860" builtinId="8" hidden="1"/>
    <cellStyle name="Hyperlink" xfId="3862" builtinId="8" hidden="1"/>
    <cellStyle name="Hyperlink" xfId="3864" builtinId="8" hidden="1"/>
    <cellStyle name="Hyperlink" xfId="3866" builtinId="8" hidden="1"/>
    <cellStyle name="Hyperlink" xfId="3868" builtinId="8" hidden="1"/>
    <cellStyle name="Hyperlink" xfId="3870" builtinId="8" hidden="1"/>
    <cellStyle name="Hyperlink" xfId="3872" builtinId="8" hidden="1"/>
    <cellStyle name="Hyperlink" xfId="3874" builtinId="8" hidden="1"/>
    <cellStyle name="Hyperlink" xfId="3876" builtinId="8" hidden="1"/>
    <cellStyle name="Hyperlink" xfId="3878" builtinId="8" hidden="1"/>
    <cellStyle name="Hyperlink" xfId="3880" builtinId="8" hidden="1"/>
    <cellStyle name="Hyperlink" xfId="3882" builtinId="8" hidden="1"/>
    <cellStyle name="Hyperlink" xfId="3884" builtinId="8" hidden="1"/>
    <cellStyle name="Hyperlink" xfId="3886" builtinId="8" hidden="1"/>
    <cellStyle name="Hyperlink" xfId="3888" builtinId="8" hidden="1"/>
    <cellStyle name="Hyperlink" xfId="3890" builtinId="8" hidden="1"/>
    <cellStyle name="Hyperlink" xfId="3892" builtinId="8" hidden="1"/>
    <cellStyle name="Hyperlink" xfId="3894" builtinId="8" hidden="1"/>
    <cellStyle name="Hyperlink" xfId="3896" builtinId="8" hidden="1"/>
    <cellStyle name="Hyperlink" xfId="3898" builtinId="8" hidden="1"/>
    <cellStyle name="Hyperlink" xfId="3900" builtinId="8" hidden="1"/>
    <cellStyle name="Hyperlink" xfId="3902" builtinId="8" hidden="1"/>
    <cellStyle name="Hyperlink" xfId="3904" builtinId="8" hidden="1"/>
    <cellStyle name="Hyperlink" xfId="3906" builtinId="8" hidden="1"/>
    <cellStyle name="Hyperlink" xfId="3908" builtinId="8" hidden="1"/>
    <cellStyle name="Hyperlink" xfId="3910" builtinId="8" hidden="1"/>
    <cellStyle name="Hyperlink" xfId="3912" builtinId="8" hidden="1"/>
    <cellStyle name="Hyperlink" xfId="3914" builtinId="8" hidden="1"/>
    <cellStyle name="Hyperlink" xfId="3916" builtinId="8" hidden="1"/>
    <cellStyle name="Hyperlink" xfId="3918" builtinId="8" hidden="1"/>
    <cellStyle name="Hyperlink" xfId="3920" builtinId="8" hidden="1"/>
    <cellStyle name="Hyperlink" xfId="3922" builtinId="8" hidden="1"/>
    <cellStyle name="Hyperlink" xfId="3924" builtinId="8" hidden="1"/>
    <cellStyle name="Hyperlink" xfId="3926" builtinId="8" hidden="1"/>
    <cellStyle name="Hyperlink" xfId="3928" builtinId="8" hidden="1"/>
    <cellStyle name="Hyperlink" xfId="3930" builtinId="8" hidden="1"/>
    <cellStyle name="Hyperlink" xfId="3932" builtinId="8" hidden="1"/>
    <cellStyle name="Hyperlink" xfId="3934" builtinId="8" hidden="1"/>
    <cellStyle name="Hyperlink" xfId="3936" builtinId="8" hidden="1"/>
    <cellStyle name="Hyperlink" xfId="3938" builtinId="8" hidden="1"/>
    <cellStyle name="Hyperlink" xfId="3940" builtinId="8" hidden="1"/>
    <cellStyle name="Hyperlink" xfId="3942" builtinId="8" hidden="1"/>
    <cellStyle name="Hyperlink" xfId="3944" builtinId="8" hidden="1"/>
    <cellStyle name="Hyperlink" xfId="3946" builtinId="8" hidden="1"/>
    <cellStyle name="Hyperlink" xfId="3948" builtinId="8" hidden="1"/>
    <cellStyle name="Hyperlink" xfId="3950" builtinId="8" hidden="1"/>
    <cellStyle name="Hyperlink" xfId="3952" builtinId="8" hidden="1"/>
    <cellStyle name="Hyperlink" xfId="3954" builtinId="8" hidden="1"/>
    <cellStyle name="Hyperlink" xfId="3956" builtinId="8" hidden="1"/>
    <cellStyle name="Hyperlink" xfId="3958" builtinId="8" hidden="1"/>
    <cellStyle name="Hyperlink" xfId="3960" builtinId="8" hidden="1"/>
    <cellStyle name="Hyperlink" xfId="3962" builtinId="8" hidden="1"/>
    <cellStyle name="Hyperlink" xfId="3964" builtinId="8" hidden="1"/>
    <cellStyle name="Hyperlink" xfId="3966" builtinId="8" hidden="1"/>
    <cellStyle name="Hyperlink" xfId="3968" builtinId="8" hidden="1"/>
    <cellStyle name="Hyperlink" xfId="3970" builtinId="8" hidden="1"/>
    <cellStyle name="Hyperlink" xfId="3972" builtinId="8" hidden="1"/>
    <cellStyle name="Hyperlink" xfId="3974" builtinId="8" hidden="1"/>
    <cellStyle name="Hyperlink" xfId="3976" builtinId="8" hidden="1"/>
    <cellStyle name="Hyperlink" xfId="3978" builtinId="8" hidden="1"/>
    <cellStyle name="Hyperlink" xfId="3980" builtinId="8" hidden="1"/>
    <cellStyle name="Hyperlink" xfId="3982" builtinId="8" hidden="1"/>
    <cellStyle name="Hyperlink" xfId="3984" builtinId="8" hidden="1"/>
    <cellStyle name="Hyperlink" xfId="3986" builtinId="8" hidden="1"/>
    <cellStyle name="Hyperlink" xfId="3988" builtinId="8" hidden="1"/>
    <cellStyle name="Hyperlink" xfId="3990" builtinId="8" hidden="1"/>
    <cellStyle name="Hyperlink" xfId="3992" builtinId="8" hidden="1"/>
    <cellStyle name="Hyperlink" xfId="3994" builtinId="8" hidden="1"/>
    <cellStyle name="Hyperlink" xfId="3996" builtinId="8" hidden="1"/>
    <cellStyle name="Hyperlink" xfId="3998" builtinId="8" hidden="1"/>
    <cellStyle name="Hyperlink" xfId="4000" builtinId="8" hidden="1"/>
    <cellStyle name="Hyperlink" xfId="4002" builtinId="8" hidden="1"/>
    <cellStyle name="Hyperlink" xfId="4004" builtinId="8" hidden="1"/>
    <cellStyle name="Hyperlink" xfId="4006" builtinId="8" hidden="1"/>
    <cellStyle name="Hyperlink" xfId="4008" builtinId="8" hidden="1"/>
    <cellStyle name="Hyperlink" xfId="4010" builtinId="8" hidden="1"/>
    <cellStyle name="Hyperlink" xfId="4012" builtinId="8" hidden="1"/>
    <cellStyle name="Hyperlink" xfId="4014" builtinId="8" hidden="1"/>
    <cellStyle name="Hyperlink" xfId="4016" builtinId="8" hidden="1"/>
    <cellStyle name="Hyperlink" xfId="4018" builtinId="8" hidden="1"/>
    <cellStyle name="Hyperlink" xfId="4020" builtinId="8" hidden="1"/>
    <cellStyle name="Hyperlink" xfId="4022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36" builtinId="8" hidden="1"/>
    <cellStyle name="Hyperlink" xfId="4038" builtinId="8" hidden="1"/>
    <cellStyle name="Hyperlink" xfId="4040" builtinId="8" hidden="1"/>
    <cellStyle name="Hyperlink" xfId="4042" builtinId="8" hidden="1"/>
    <cellStyle name="Hyperlink" xfId="4044" builtinId="8" hidden="1"/>
    <cellStyle name="Hyperlink" xfId="4046" builtinId="8" hidden="1"/>
    <cellStyle name="Hyperlink" xfId="4048" builtinId="8" hidden="1"/>
    <cellStyle name="Hyperlink" xfId="4050" builtinId="8" hidden="1"/>
    <cellStyle name="Hyperlink" xfId="4052" builtinId="8" hidden="1"/>
    <cellStyle name="Hyperlink" xfId="4054" builtinId="8" hidden="1"/>
    <cellStyle name="Hyperlink" xfId="4056" builtinId="8" hidden="1"/>
    <cellStyle name="Hyperlink" xfId="4058" builtinId="8" hidden="1"/>
    <cellStyle name="Hyperlink" xfId="4060" builtinId="8" hidden="1"/>
    <cellStyle name="Hyperlink" xfId="4062" builtinId="8" hidden="1"/>
    <cellStyle name="Hyperlink" xfId="4064" builtinId="8" hidden="1"/>
    <cellStyle name="Hyperlink" xfId="4066" builtinId="8" hidden="1"/>
    <cellStyle name="Hyperlink" xfId="4068" builtinId="8" hidden="1"/>
    <cellStyle name="Hyperlink" xfId="4070" builtinId="8" hidden="1"/>
    <cellStyle name="Hyperlink" xfId="4072" builtinId="8" hidden="1"/>
    <cellStyle name="Hyperlink" xfId="4074" builtinId="8" hidden="1"/>
    <cellStyle name="Hyperlink" xfId="4076" builtinId="8" hidden="1"/>
    <cellStyle name="Hyperlink" xfId="4078" builtinId="8" hidden="1"/>
    <cellStyle name="Hyperlink" xfId="4080" builtinId="8" hidden="1"/>
    <cellStyle name="Hyperlink" xfId="4082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4188" builtinId="8" hidden="1"/>
    <cellStyle name="Hyperlink" xfId="4190" builtinId="8" hidden="1"/>
    <cellStyle name="Hyperlink" xfId="4192" builtinId="8" hidden="1"/>
    <cellStyle name="Hyperlink" xfId="4194" builtinId="8" hidden="1"/>
    <cellStyle name="Hyperlink" xfId="4196" builtinId="8" hidden="1"/>
    <cellStyle name="Hyperlink" xfId="4198" builtinId="8" hidden="1"/>
    <cellStyle name="Hyperlink" xfId="4200" builtinId="8" hidden="1"/>
    <cellStyle name="Hyperlink" xfId="4202" builtinId="8" hidden="1"/>
    <cellStyle name="Hyperlink" xfId="4204" builtinId="8" hidden="1"/>
    <cellStyle name="Hyperlink" xfId="4206" builtinId="8" hidden="1"/>
    <cellStyle name="Hyperlink" xfId="4208" builtinId="8" hidden="1"/>
    <cellStyle name="Hyperlink" xfId="4210" builtinId="8" hidden="1"/>
    <cellStyle name="Hyperlink" xfId="4212" builtinId="8" hidden="1"/>
    <cellStyle name="Hyperlink" xfId="4214" builtinId="8" hidden="1"/>
    <cellStyle name="Hyperlink" xfId="4216" builtinId="8" hidden="1"/>
    <cellStyle name="Hyperlink" xfId="4218" builtinId="8" hidden="1"/>
    <cellStyle name="Hyperlink" xfId="4220" builtinId="8" hidden="1"/>
    <cellStyle name="Hyperlink" xfId="4222" builtinId="8" hidden="1"/>
    <cellStyle name="Hyperlink" xfId="4224" builtinId="8" hidden="1"/>
    <cellStyle name="Hyperlink" xfId="4226" builtinId="8" hidden="1"/>
    <cellStyle name="Hyperlink" xfId="4228" builtinId="8" hidden="1"/>
    <cellStyle name="Hyperlink" xfId="4230" builtinId="8" hidden="1"/>
    <cellStyle name="Hyperlink" xfId="4232" builtinId="8" hidden="1"/>
    <cellStyle name="Hyperlink" xfId="4234" builtinId="8" hidden="1"/>
    <cellStyle name="Hyperlink" xfId="4236" builtinId="8" hidden="1"/>
    <cellStyle name="Hyperlink" xfId="4238" builtinId="8" hidden="1"/>
    <cellStyle name="Hyperlink" xfId="4240" builtinId="8" hidden="1"/>
    <cellStyle name="Hyperlink" xfId="4242" builtinId="8" hidden="1"/>
    <cellStyle name="Hyperlink" xfId="4244" builtinId="8" hidden="1"/>
    <cellStyle name="Hyperlink" xfId="4246" builtinId="8" hidden="1"/>
    <cellStyle name="Hyperlink" xfId="4248" builtinId="8" hidden="1"/>
    <cellStyle name="Hyperlink" xfId="4250" builtinId="8" hidden="1"/>
    <cellStyle name="Hyperlink" xfId="4252" builtinId="8" hidden="1"/>
    <cellStyle name="Hyperlink" xfId="4254" builtinId="8" hidden="1"/>
    <cellStyle name="Hyperlink" xfId="4256" builtinId="8" hidden="1"/>
    <cellStyle name="Hyperlink" xfId="4258" builtinId="8" hidden="1"/>
    <cellStyle name="Hyperlink" xfId="4260" builtinId="8" hidden="1"/>
    <cellStyle name="Hyperlink" xfId="4262" builtinId="8" hidden="1"/>
    <cellStyle name="Hyperlink" xfId="4264" builtinId="8" hidden="1"/>
    <cellStyle name="Hyperlink" xfId="4266" builtinId="8" hidden="1"/>
    <cellStyle name="Hyperlink" xfId="4268" builtinId="8" hidden="1"/>
    <cellStyle name="Hyperlink" xfId="4270" builtinId="8" hidden="1"/>
    <cellStyle name="Hyperlink" xfId="4272" builtinId="8" hidden="1"/>
    <cellStyle name="Hyperlink" xfId="4274" builtinId="8" hidden="1"/>
    <cellStyle name="Hyperlink" xfId="4276" builtinId="8" hidden="1"/>
    <cellStyle name="Hyperlink" xfId="4278" builtinId="8" hidden="1"/>
    <cellStyle name="Hyperlink" xfId="4280" builtinId="8" hidden="1"/>
    <cellStyle name="Hyperlink" xfId="4282" builtinId="8" hidden="1"/>
    <cellStyle name="Hyperlink" xfId="4284" builtinId="8" hidden="1"/>
    <cellStyle name="Hyperlink" xfId="4286" builtinId="8" hidden="1"/>
    <cellStyle name="Hyperlink" xfId="4288" builtinId="8" hidden="1"/>
    <cellStyle name="Hyperlink" xfId="4290" builtinId="8" hidden="1"/>
    <cellStyle name="Hyperlink" xfId="4292" builtinId="8" hidden="1"/>
    <cellStyle name="Hyperlink" xfId="4294" builtinId="8" hidden="1"/>
    <cellStyle name="Hyperlink" xfId="4296" builtinId="8" hidden="1"/>
    <cellStyle name="Hyperlink" xfId="4298" builtinId="8" hidden="1"/>
    <cellStyle name="Hyperlink" xfId="4300" builtinId="8" hidden="1"/>
    <cellStyle name="Hyperlink" xfId="4302" builtinId="8" hidden="1"/>
    <cellStyle name="Hyperlink" xfId="4304" builtinId="8" hidden="1"/>
    <cellStyle name="Hyperlink" xfId="4306" builtinId="8" hidden="1"/>
    <cellStyle name="Hyperlink" xfId="4308" builtinId="8" hidden="1"/>
    <cellStyle name="Hyperlink" xfId="4310" builtinId="8" hidden="1"/>
    <cellStyle name="Hyperlink" xfId="4312" builtinId="8" hidden="1"/>
    <cellStyle name="Hyperlink" xfId="4314" builtinId="8" hidden="1"/>
    <cellStyle name="Hyperlink" xfId="4316" builtinId="8" hidden="1"/>
    <cellStyle name="Hyperlink" xfId="4318" builtinId="8" hidden="1"/>
    <cellStyle name="Hyperlink" xfId="4320" builtinId="8" hidden="1"/>
    <cellStyle name="Hyperlink" xfId="4322" builtinId="8" hidden="1"/>
    <cellStyle name="Hyperlink" xfId="4324" builtinId="8" hidden="1"/>
    <cellStyle name="Hyperlink" xfId="4326" builtinId="8" hidden="1"/>
    <cellStyle name="Hyperlink" xfId="4328" builtinId="8" hidden="1"/>
    <cellStyle name="Hyperlink" xfId="4330" builtinId="8" hidden="1"/>
    <cellStyle name="Hyperlink" xfId="4332" builtinId="8" hidden="1"/>
    <cellStyle name="Hyperlink" xfId="4334" builtinId="8" hidden="1"/>
    <cellStyle name="Hyperlink" xfId="4336" builtinId="8" hidden="1"/>
    <cellStyle name="Hyperlink" xfId="4338" builtinId="8" hidden="1"/>
    <cellStyle name="Hyperlink" xfId="4340" builtinId="8" hidden="1"/>
    <cellStyle name="Hyperlink" xfId="4342" builtinId="8" hidden="1"/>
    <cellStyle name="Hyperlink" xfId="4344" builtinId="8" hidden="1"/>
    <cellStyle name="Hyperlink" xfId="4346" builtinId="8" hidden="1"/>
    <cellStyle name="Hyperlink" xfId="4348" builtinId="8" hidden="1"/>
    <cellStyle name="Hyperlink" xfId="4350" builtinId="8" hidden="1"/>
    <cellStyle name="Hyperlink" xfId="435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Procent" xfId="2169" builtinId="5"/>
    <cellStyle name="Standa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B-4EF1-97CF-3E3E53097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8112"/>
        <c:axId val="926958656"/>
      </c:scatterChart>
      <c:valAx>
        <c:axId val="926958112"/>
        <c:scaling>
          <c:orientation val="minMax"/>
          <c:max val="3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8656"/>
        <c:crosses val="autoZero"/>
        <c:crossBetween val="midCat"/>
        <c:majorUnit val="6"/>
      </c:valAx>
      <c:valAx>
        <c:axId val="926958656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8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D-447D-B712-BE72AF822D36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SES!$B$42:$B$53</c:f>
              <c:numCache>
                <c:formatCode>General</c:formatCode>
                <c:ptCount val="12"/>
                <c:pt idx="0">
                  <c:v>289.90104506840504</c:v>
                </c:pt>
                <c:pt idx="1">
                  <c:v>289.90104506840504</c:v>
                </c:pt>
                <c:pt idx="2">
                  <c:v>289.90104506840504</c:v>
                </c:pt>
                <c:pt idx="3">
                  <c:v>289.90104506840504</c:v>
                </c:pt>
                <c:pt idx="4">
                  <c:v>289.90104506840504</c:v>
                </c:pt>
                <c:pt idx="5">
                  <c:v>289.90104506840504</c:v>
                </c:pt>
                <c:pt idx="6">
                  <c:v>289.90104506840504</c:v>
                </c:pt>
                <c:pt idx="7">
                  <c:v>289.90104506840504</c:v>
                </c:pt>
                <c:pt idx="8">
                  <c:v>289.90104506840504</c:v>
                </c:pt>
                <c:pt idx="9">
                  <c:v>289.90104506840504</c:v>
                </c:pt>
                <c:pt idx="10">
                  <c:v>289.90104506840504</c:v>
                </c:pt>
                <c:pt idx="11">
                  <c:v>289.90104506840504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2D-447D-B712-BE72AF822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3760"/>
        <c:axId val="926959744"/>
      </c:scatterChart>
      <c:valAx>
        <c:axId val="926953760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9744"/>
        <c:crosses val="autoZero"/>
        <c:crossBetween val="midCat"/>
        <c:majorUnit val="6"/>
      </c:valAx>
      <c:valAx>
        <c:axId val="926959744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First Half of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13570807629938"/>
                  <c:y val="-0.10573734122650701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b="1" i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E9-4F7E-B168-EBE7D2CC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6952672"/>
        <c:axId val="926953216"/>
      </c:scatterChart>
      <c:valAx>
        <c:axId val="926952672"/>
        <c:scaling>
          <c:orientation val="minMax"/>
          <c:max val="1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3216"/>
        <c:crosses val="autoZero"/>
        <c:crossBetween val="midCat"/>
        <c:majorUnit val="3"/>
      </c:valAx>
      <c:valAx>
        <c:axId val="926953216"/>
        <c:scaling>
          <c:orientation val="minMax"/>
          <c:min val="1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26952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4-4AA9-A092-3958170D45FF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246.91641508680877</c:v>
                </c:pt>
                <c:pt idx="1">
                  <c:v>254.66331977288132</c:v>
                </c:pt>
                <c:pt idx="2">
                  <c:v>262.41022445895391</c:v>
                </c:pt>
                <c:pt idx="3">
                  <c:v>270.15712914502643</c:v>
                </c:pt>
                <c:pt idx="4">
                  <c:v>277.90403383109901</c:v>
                </c:pt>
                <c:pt idx="5">
                  <c:v>285.65093851717154</c:v>
                </c:pt>
                <c:pt idx="6">
                  <c:v>293.39784320324412</c:v>
                </c:pt>
                <c:pt idx="7">
                  <c:v>301.1447478893167</c:v>
                </c:pt>
                <c:pt idx="8">
                  <c:v>308.89165257538923</c:v>
                </c:pt>
                <c:pt idx="9">
                  <c:v>316.63855726146181</c:v>
                </c:pt>
                <c:pt idx="10">
                  <c:v>324.3854619475344</c:v>
                </c:pt>
                <c:pt idx="11">
                  <c:v>332.13236663360692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C4-4AA9-A092-3958170D4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522736"/>
        <c:axId val="998522192"/>
      </c:scatterChart>
      <c:valAx>
        <c:axId val="998522736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192"/>
        <c:crosses val="autoZero"/>
        <c:crossBetween val="midCat"/>
        <c:majorUnit val="6"/>
      </c:valAx>
      <c:valAx>
        <c:axId val="998522192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227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-3.4763907620820676E-2</c:v>
                </c:pt>
                <c:pt idx="1">
                  <c:v>5.5244771237663734E-2</c:v>
                </c:pt>
                <c:pt idx="2">
                  <c:v>-1.6815251059997725E-2</c:v>
                </c:pt>
                <c:pt idx="3">
                  <c:v>-0.16306163011743255</c:v>
                </c:pt>
                <c:pt idx="4">
                  <c:v>0.11324370521758802</c:v>
                </c:pt>
                <c:pt idx="5">
                  <c:v>-0.17911301762246684</c:v>
                </c:pt>
                <c:pt idx="6">
                  <c:v>0.13130081696179177</c:v>
                </c:pt>
                <c:pt idx="7">
                  <c:v>-0.32138064141293182</c:v>
                </c:pt>
                <c:pt idx="8">
                  <c:v>-1.2297583481342113E-2</c:v>
                </c:pt>
                <c:pt idx="9">
                  <c:v>-0.10709384103004785</c:v>
                </c:pt>
                <c:pt idx="10">
                  <c:v>5.3756098554346619E-2</c:v>
                </c:pt>
                <c:pt idx="11">
                  <c:v>0.40425868198218617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9-48CA-A05B-8F95B5DD1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998519472"/>
        <c:axId val="99851784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'Holt''s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09-48CA-A05B-8F95B5DD1269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09-48CA-A05B-8F95B5DD1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19472"/>
        <c:axId val="998517840"/>
      </c:lineChart>
      <c:catAx>
        <c:axId val="998519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998517840"/>
        <c:crosses val="autoZero"/>
        <c:auto val="1"/>
        <c:lblAlgn val="ctr"/>
        <c:lblOffset val="100"/>
        <c:noMultiLvlLbl val="0"/>
      </c:catAx>
      <c:valAx>
        <c:axId val="99851784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85194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Deseasonalized Data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1.05882352941176E-2"/>
                  <c:y val="0.32659812719916598"/>
                </c:manualLayout>
              </c:layout>
              <c:numFmt formatCode="General" sourceLinked="0"/>
            </c:trendlineLbl>
          </c:trendline>
          <c:yVal>
            <c:numRef>
              <c:f>HoltWintersInitial!$H$2:$H$37</c:f>
              <c:numCache>
                <c:formatCode>0.00</c:formatCode>
                <c:ptCount val="36"/>
                <c:pt idx="0">
                  <c:v>166.96460585743006</c:v>
                </c:pt>
                <c:pt idx="1">
                  <c:v>164.50857167840934</c:v>
                </c:pt>
                <c:pt idx="2">
                  <c:v>157.56753597052349</c:v>
                </c:pt>
                <c:pt idx="3">
                  <c:v>156.69554201053379</c:v>
                </c:pt>
                <c:pt idx="4">
                  <c:v>157.23713570540491</c:v>
                </c:pt>
                <c:pt idx="5">
                  <c:v>176.5142395181901</c:v>
                </c:pt>
                <c:pt idx="6">
                  <c:v>165.06711037160289</c:v>
                </c:pt>
                <c:pt idx="7">
                  <c:v>161.87849090223762</c:v>
                </c:pt>
                <c:pt idx="8">
                  <c:v>160.85127709893854</c:v>
                </c:pt>
                <c:pt idx="9">
                  <c:v>166.30560748535268</c:v>
                </c:pt>
                <c:pt idx="10">
                  <c:v>165.06804218433683</c:v>
                </c:pt>
                <c:pt idx="11">
                  <c:v>168.60396391701315</c:v>
                </c:pt>
                <c:pt idx="12">
                  <c:v>171.01223266609503</c:v>
                </c:pt>
                <c:pt idx="13">
                  <c:v>159.69837952406988</c:v>
                </c:pt>
                <c:pt idx="14">
                  <c:v>173.64585596751567</c:v>
                </c:pt>
                <c:pt idx="15">
                  <c:v>161.07863409474453</c:v>
                </c:pt>
                <c:pt idx="16">
                  <c:v>180.24744824765929</c:v>
                </c:pt>
                <c:pt idx="17">
                  <c:v>177.61745351517879</c:v>
                </c:pt>
                <c:pt idx="18">
                  <c:v>175.92678868552414</c:v>
                </c:pt>
                <c:pt idx="19">
                  <c:v>182.38309974985438</c:v>
                </c:pt>
                <c:pt idx="20">
                  <c:v>187.15400165599766</c:v>
                </c:pt>
                <c:pt idx="21">
                  <c:v>185.00268761684202</c:v>
                </c:pt>
                <c:pt idx="22">
                  <c:v>190.83010657148768</c:v>
                </c:pt>
                <c:pt idx="23">
                  <c:v>190.19856028076853</c:v>
                </c:pt>
                <c:pt idx="24">
                  <c:v>191.25036670941989</c:v>
                </c:pt>
                <c:pt idx="25">
                  <c:v>209.72437792920022</c:v>
                </c:pt>
                <c:pt idx="26">
                  <c:v>198.29927996290371</c:v>
                </c:pt>
                <c:pt idx="27">
                  <c:v>218.0588311894841</c:v>
                </c:pt>
                <c:pt idx="28">
                  <c:v>201.34023474472582</c:v>
                </c:pt>
                <c:pt idx="29">
                  <c:v>212.92030141881682</c:v>
                </c:pt>
                <c:pt idx="30">
                  <c:v>229.13921242373823</c:v>
                </c:pt>
                <c:pt idx="31">
                  <c:v>224.47150738443617</c:v>
                </c:pt>
                <c:pt idx="32">
                  <c:v>218.51494247402968</c:v>
                </c:pt>
                <c:pt idx="33">
                  <c:v>214.5243930876147</c:v>
                </c:pt>
                <c:pt idx="34">
                  <c:v>251.89574067436374</c:v>
                </c:pt>
                <c:pt idx="35">
                  <c:v>252.49066517621674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1-420A-A31D-123CE79F5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4144"/>
        <c:axId val="991046864"/>
      </c:scatterChart>
      <c:valAx>
        <c:axId val="991044144"/>
        <c:scaling>
          <c:orientation val="minMax"/>
          <c:max val="36"/>
        </c:scaling>
        <c:delete val="0"/>
        <c:axPos val="b"/>
        <c:majorTickMark val="out"/>
        <c:minorTickMark val="none"/>
        <c:tickLblPos val="nextTo"/>
        <c:crossAx val="991046864"/>
        <c:crosses val="autoZero"/>
        <c:crossBetween val="midCat"/>
        <c:majorUnit val="6"/>
      </c:valAx>
      <c:valAx>
        <c:axId val="991046864"/>
        <c:scaling>
          <c:orientation val="minMax"/>
          <c:min val="10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991044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Result of 2x12MA Smoother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446850393700801E-2"/>
          <c:y val="0.14469212475201201"/>
          <c:w val="0.88670144356955405"/>
          <c:h val="0.73796236738013399"/>
        </c:manualLayout>
      </c:layout>
      <c:lineChart>
        <c:grouping val="standard"/>
        <c:varyColors val="0"/>
        <c:ser>
          <c:idx val="0"/>
          <c:order val="0"/>
          <c:tx>
            <c:v>Unsmoothed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HoltWintersInitial!$B$8:$B$31</c:f>
              <c:numCache>
                <c:formatCode>General</c:formatCode>
                <c:ptCount val="24"/>
                <c:pt idx="0">
                  <c:v>152</c:v>
                </c:pt>
                <c:pt idx="1">
                  <c:v>150</c:v>
                </c:pt>
                <c:pt idx="2">
                  <c:v>159</c:v>
                </c:pt>
                <c:pt idx="3">
                  <c:v>169</c:v>
                </c:pt>
                <c:pt idx="4">
                  <c:v>173</c:v>
                </c:pt>
                <c:pt idx="5">
                  <c:v>203</c:v>
                </c:pt>
                <c:pt idx="6">
                  <c:v>169</c:v>
                </c:pt>
                <c:pt idx="7">
                  <c:v>166</c:v>
                </c:pt>
                <c:pt idx="8">
                  <c:v>162</c:v>
                </c:pt>
                <c:pt idx="9">
                  <c:v>147</c:v>
                </c:pt>
                <c:pt idx="10">
                  <c:v>188</c:v>
                </c:pt>
                <c:pt idx="11">
                  <c:v>161</c:v>
                </c:pt>
                <c:pt idx="12">
                  <c:v>162</c:v>
                </c:pt>
                <c:pt idx="13">
                  <c:v>169</c:v>
                </c:pt>
                <c:pt idx="14">
                  <c:v>185</c:v>
                </c:pt>
                <c:pt idx="15">
                  <c:v>188</c:v>
                </c:pt>
                <c:pt idx="16">
                  <c:v>200</c:v>
                </c:pt>
                <c:pt idx="17">
                  <c:v>229</c:v>
                </c:pt>
                <c:pt idx="18">
                  <c:v>189</c:v>
                </c:pt>
                <c:pt idx="19">
                  <c:v>218</c:v>
                </c:pt>
                <c:pt idx="20">
                  <c:v>185</c:v>
                </c:pt>
                <c:pt idx="21">
                  <c:v>199</c:v>
                </c:pt>
                <c:pt idx="22">
                  <c:v>210</c:v>
                </c:pt>
                <c:pt idx="23">
                  <c:v>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36-45FB-BC5F-6FB64E873C5F}"/>
            </c:ext>
          </c:extLst>
        </c:ser>
        <c:ser>
          <c:idx val="1"/>
          <c:order val="1"/>
          <c:tx>
            <c:v>Smoothed</c:v>
          </c:tx>
          <c:marker>
            <c:symbol val="none"/>
          </c:marker>
          <c:cat>
            <c:numRef>
              <c:f>HoltWintersInitial!$A$8:$A$31</c:f>
              <c:numCache>
                <c:formatCode>General</c:formatCode>
                <c:ptCount val="24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</c:v>
                </c:pt>
                <c:pt idx="21">
                  <c:v>28</c:v>
                </c:pt>
                <c:pt idx="22">
                  <c:v>29</c:v>
                </c:pt>
                <c:pt idx="23">
                  <c:v>30</c:v>
                </c:pt>
              </c:numCache>
            </c:numRef>
          </c:cat>
          <c:val>
            <c:numRef>
              <c:f>HoltWintersInitial!$C$8:$C$31</c:f>
              <c:numCache>
                <c:formatCode>0.00</c:formatCode>
                <c:ptCount val="24"/>
                <c:pt idx="0">
                  <c:v>163.16666666666669</c:v>
                </c:pt>
                <c:pt idx="1">
                  <c:v>163.125</c:v>
                </c:pt>
                <c:pt idx="2">
                  <c:v>163.54166666666666</c:v>
                </c:pt>
                <c:pt idx="3">
                  <c:v>164.33333333333331</c:v>
                </c:pt>
                <c:pt idx="4">
                  <c:v>165.5</c:v>
                </c:pt>
                <c:pt idx="5">
                  <c:v>166.54166666666669</c:v>
                </c:pt>
                <c:pt idx="6">
                  <c:v>167</c:v>
                </c:pt>
                <c:pt idx="7">
                  <c:v>168.20833333333331</c:v>
                </c:pt>
                <c:pt idx="8">
                  <c:v>170.08333333333331</c:v>
                </c:pt>
                <c:pt idx="9">
                  <c:v>171.95833333333331</c:v>
                </c:pt>
                <c:pt idx="10">
                  <c:v>173.875</c:v>
                </c:pt>
                <c:pt idx="11">
                  <c:v>176.08333333333331</c:v>
                </c:pt>
                <c:pt idx="12">
                  <c:v>178</c:v>
                </c:pt>
                <c:pt idx="13">
                  <c:v>181</c:v>
                </c:pt>
                <c:pt idx="14">
                  <c:v>184.125</c:v>
                </c:pt>
                <c:pt idx="15">
                  <c:v>187.25</c:v>
                </c:pt>
                <c:pt idx="16">
                  <c:v>190.33333333333331</c:v>
                </c:pt>
                <c:pt idx="17">
                  <c:v>192.58333333333331</c:v>
                </c:pt>
                <c:pt idx="18">
                  <c:v>195.95833333333331</c:v>
                </c:pt>
                <c:pt idx="19">
                  <c:v>199.625</c:v>
                </c:pt>
                <c:pt idx="20">
                  <c:v>202.54166666666669</c:v>
                </c:pt>
                <c:pt idx="21">
                  <c:v>205.08333333333334</c:v>
                </c:pt>
                <c:pt idx="22">
                  <c:v>209</c:v>
                </c:pt>
                <c:pt idx="23">
                  <c:v>214.79166666666666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36-45FB-BC5F-6FB64E873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7772336"/>
        <c:axId val="927772880"/>
      </c:lineChart>
      <c:catAx>
        <c:axId val="927772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27772880"/>
        <c:crosses val="autoZero"/>
        <c:auto val="1"/>
        <c:lblAlgn val="ctr"/>
        <c:lblOffset val="100"/>
        <c:noMultiLvlLbl val="0"/>
      </c:catAx>
      <c:valAx>
        <c:axId val="927772880"/>
        <c:scaling>
          <c:orientation val="minMax"/>
          <c:min val="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7772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5640446729873003"/>
          <c:y val="0.58823111899744895"/>
          <c:w val="0.29775188815683801"/>
          <c:h val="0.171078333518169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HoltWintersInitial!$F$1</c:f>
              <c:strCache>
                <c:ptCount val="1"/>
                <c:pt idx="0">
                  <c:v>% Skew</c:v>
                </c:pt>
              </c:strCache>
            </c:strRef>
          </c:tx>
          <c:invertIfNegative val="0"/>
          <c:val>
            <c:numRef>
              <c:f>HoltWintersInitial!$F$2:$F$13</c:f>
              <c:numCache>
                <c:formatCode>0%</c:formatCode>
                <c:ptCount val="12"/>
                <c:pt idx="0">
                  <c:v>-1.1766600755537482E-2</c:v>
                </c:pt>
                <c:pt idx="1">
                  <c:v>3.9459514208660673E-2</c:v>
                </c:pt>
                <c:pt idx="2">
                  <c:v>-6.7066708287552235E-2</c:v>
                </c:pt>
                <c:pt idx="3">
                  <c:v>-8.7402244089452852E-2</c:v>
                </c:pt>
                <c:pt idx="4">
                  <c:v>4.3010604742036218E-2</c:v>
                </c:pt>
                <c:pt idx="5">
                  <c:v>-9.3557548463325424E-2</c:v>
                </c:pt>
                <c:pt idx="6">
                  <c:v>-7.9162410623084822E-2</c:v>
                </c:pt>
                <c:pt idx="7">
                  <c:v>-7.3379056328189529E-2</c:v>
                </c:pt>
                <c:pt idx="8">
                  <c:v>-1.1509247127704292E-2</c:v>
                </c:pt>
                <c:pt idx="9">
                  <c:v>1.6201453188429804E-2</c:v>
                </c:pt>
                <c:pt idx="10">
                  <c:v>4.8052655806054112E-2</c:v>
                </c:pt>
                <c:pt idx="11">
                  <c:v>0.20400490761840318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72-49E6-BAC7-087554D8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8204144"/>
        <c:axId val="858203056"/>
      </c:barChart>
      <c:catAx>
        <c:axId val="85820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858203056"/>
        <c:crosses val="autoZero"/>
        <c:auto val="1"/>
        <c:lblAlgn val="ctr"/>
        <c:lblOffset val="100"/>
        <c:noMultiLvlLbl val="0"/>
      </c:catAx>
      <c:valAx>
        <c:axId val="8582030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582041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HoltWintersSeasonal!$A$17:$A$52</c:f>
              <c:numCache>
                <c:formatCode>General</c:formatCode>
                <c:ptCount val="3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</c:numCache>
            </c:numRef>
          </c:xVal>
          <c:yVal>
            <c:numRef>
              <c:f>HoltWintersSeasonal!$B$17:$B$52</c:f>
              <c:numCache>
                <c:formatCode>General</c:formatCode>
                <c:ptCount val="36"/>
                <c:pt idx="0">
                  <c:v>165</c:v>
                </c:pt>
                <c:pt idx="1">
                  <c:v>171</c:v>
                </c:pt>
                <c:pt idx="2">
                  <c:v>147</c:v>
                </c:pt>
                <c:pt idx="3">
                  <c:v>143</c:v>
                </c:pt>
                <c:pt idx="4">
                  <c:v>164</c:v>
                </c:pt>
                <c:pt idx="5">
                  <c:v>160</c:v>
                </c:pt>
                <c:pt idx="6">
                  <c:v>152</c:v>
                </c:pt>
                <c:pt idx="7">
                  <c:v>150</c:v>
                </c:pt>
                <c:pt idx="8">
                  <c:v>159</c:v>
                </c:pt>
                <c:pt idx="9">
                  <c:v>169</c:v>
                </c:pt>
                <c:pt idx="10">
                  <c:v>173</c:v>
                </c:pt>
                <c:pt idx="11">
                  <c:v>203</c:v>
                </c:pt>
                <c:pt idx="12">
                  <c:v>169</c:v>
                </c:pt>
                <c:pt idx="13">
                  <c:v>166</c:v>
                </c:pt>
                <c:pt idx="14">
                  <c:v>162</c:v>
                </c:pt>
                <c:pt idx="15">
                  <c:v>147</c:v>
                </c:pt>
                <c:pt idx="16">
                  <c:v>188</c:v>
                </c:pt>
                <c:pt idx="17">
                  <c:v>161</c:v>
                </c:pt>
                <c:pt idx="18">
                  <c:v>162</c:v>
                </c:pt>
                <c:pt idx="19">
                  <c:v>169</c:v>
                </c:pt>
                <c:pt idx="20">
                  <c:v>185</c:v>
                </c:pt>
                <c:pt idx="21">
                  <c:v>188</c:v>
                </c:pt>
                <c:pt idx="22">
                  <c:v>200</c:v>
                </c:pt>
                <c:pt idx="23">
                  <c:v>229</c:v>
                </c:pt>
                <c:pt idx="24">
                  <c:v>189</c:v>
                </c:pt>
                <c:pt idx="25">
                  <c:v>218</c:v>
                </c:pt>
                <c:pt idx="26">
                  <c:v>185</c:v>
                </c:pt>
                <c:pt idx="27">
                  <c:v>199</c:v>
                </c:pt>
                <c:pt idx="28">
                  <c:v>210</c:v>
                </c:pt>
                <c:pt idx="29">
                  <c:v>193</c:v>
                </c:pt>
                <c:pt idx="30">
                  <c:v>211</c:v>
                </c:pt>
                <c:pt idx="31">
                  <c:v>208</c:v>
                </c:pt>
                <c:pt idx="32">
                  <c:v>216</c:v>
                </c:pt>
                <c:pt idx="33">
                  <c:v>218</c:v>
                </c:pt>
                <c:pt idx="34">
                  <c:v>264</c:v>
                </c:pt>
                <c:pt idx="35">
                  <c:v>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1-41B3-B55F-92F158BD40AF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HoltWintersSeasonal!$A$53:$A$64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xVal>
          <c:yVal>
            <c:numRef>
              <c:f>HoltWintersSeasonal!$B$53:$B$64</c:f>
              <c:numCache>
                <c:formatCode>0.00</c:formatCode>
                <c:ptCount val="12"/>
                <c:pt idx="0">
                  <c:v>245.39861147012175</c:v>
                </c:pt>
                <c:pt idx="1">
                  <c:v>263.53957616912089</c:v>
                </c:pt>
                <c:pt idx="2">
                  <c:v>241.39639687929989</c:v>
                </c:pt>
                <c:pt idx="3">
                  <c:v>240.89350314227795</c:v>
                </c:pt>
                <c:pt idx="4">
                  <c:v>280.75686694960115</c:v>
                </c:pt>
                <c:pt idx="5">
                  <c:v>248.72237281253393</c:v>
                </c:pt>
                <c:pt idx="6">
                  <c:v>257.47420471287268</c:v>
                </c:pt>
                <c:pt idx="7">
                  <c:v>263.92333177594861</c:v>
                </c:pt>
                <c:pt idx="8">
                  <c:v>286.69998486433991</c:v>
                </c:pt>
                <c:pt idx="9">
                  <c:v>300.03633028420154</c:v>
                </c:pt>
                <c:pt idx="10">
                  <c:v>314.90576812164261</c:v>
                </c:pt>
                <c:pt idx="11">
                  <c:v>368.04287756044386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01-41B3-B55F-92F158BD4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199792"/>
        <c:axId val="858204688"/>
      </c:scatterChart>
      <c:valAx>
        <c:axId val="858199792"/>
        <c:scaling>
          <c:orientation val="minMax"/>
          <c:max val="4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4688"/>
        <c:crosses val="autoZero"/>
        <c:crossBetween val="midCat"/>
        <c:majorUnit val="6"/>
      </c:valAx>
      <c:valAx>
        <c:axId val="858204688"/>
        <c:scaling>
          <c:orientation val="minMax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1997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1">
                <a:alpha val="20000"/>
              </a:schemeClr>
            </a:solidFill>
            <a:ln>
              <a:noFill/>
            </a:ln>
          </c:spPr>
          <c:invertIfNegative val="0"/>
          <c:val>
            <c:numRef>
              <c:f>'HW Autocorrelation'!$D$40:$O$40</c:f>
              <c:numCache>
                <c:formatCode>General</c:formatCode>
                <c:ptCount val="12"/>
                <c:pt idx="0">
                  <c:v>-1.2087986219075296E-2</c:v>
                </c:pt>
                <c:pt idx="1">
                  <c:v>-6.6280481073330913E-2</c:v>
                </c:pt>
                <c:pt idx="2">
                  <c:v>-8.184974802634544E-2</c:v>
                </c:pt>
                <c:pt idx="3">
                  <c:v>0.20011064166457468</c:v>
                </c:pt>
                <c:pt idx="4">
                  <c:v>0.22787624749440299</c:v>
                </c:pt>
                <c:pt idx="5">
                  <c:v>-0.1060316213746952</c:v>
                </c:pt>
                <c:pt idx="6">
                  <c:v>-1.7283180346319889E-3</c:v>
                </c:pt>
                <c:pt idx="7">
                  <c:v>-8.3594205262074936E-2</c:v>
                </c:pt>
                <c:pt idx="8">
                  <c:v>0.10986444487065262</c:v>
                </c:pt>
                <c:pt idx="9">
                  <c:v>-4.8208927707958441E-2</c:v>
                </c:pt>
                <c:pt idx="10">
                  <c:v>8.243235330851989E-2</c:v>
                </c:pt>
                <c:pt idx="11">
                  <c:v>-0.2161648981682367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62-47BC-A18D-217FB7603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58200336"/>
        <c:axId val="858200880"/>
      </c:barChart>
      <c:lineChart>
        <c:grouping val="standard"/>
        <c:varyColors val="0"/>
        <c:ser>
          <c:idx val="1"/>
          <c:order val="1"/>
          <c:spPr>
            <a:ln>
              <a:solidFill>
                <a:schemeClr val="bg1">
                  <a:lumMod val="50000"/>
                </a:schemeClr>
              </a:solidFill>
              <a:prstDash val="sysDash"/>
              <a:round/>
            </a:ln>
          </c:spPr>
          <c:marker>
            <c:symbol val="none"/>
          </c:marker>
          <c:val>
            <c:numRef>
              <c:f>'HW Autocorrelation'!$D$41:$O$41</c:f>
              <c:numCache>
                <c:formatCode>General</c:formatCode>
                <c:ptCount val="12"/>
                <c:pt idx="0">
                  <c:v>0.33333333333333331</c:v>
                </c:pt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62-47BC-A18D-217FB7603BB3}"/>
            </c:ext>
          </c:extLst>
        </c:ser>
        <c:ser>
          <c:idx val="2"/>
          <c:order val="2"/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'HW Autocorrelation'!$D$42:$O$42</c:f>
              <c:numCache>
                <c:formatCode>General</c:formatCode>
                <c:ptCount val="12"/>
                <c:pt idx="0">
                  <c:v>-0.33333333333333331</c:v>
                </c:pt>
                <c:pt idx="1">
                  <c:v>-0.33333333333333331</c:v>
                </c:pt>
                <c:pt idx="2">
                  <c:v>-0.33333333333333331</c:v>
                </c:pt>
                <c:pt idx="3">
                  <c:v>-0.33333333333333331</c:v>
                </c:pt>
                <c:pt idx="4">
                  <c:v>-0.33333333333333331</c:v>
                </c:pt>
                <c:pt idx="5">
                  <c:v>-0.33333333333333331</c:v>
                </c:pt>
                <c:pt idx="6">
                  <c:v>-0.33333333333333331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-0.33333333333333331</c:v>
                </c:pt>
                <c:pt idx="10">
                  <c:v>-0.33333333333333331</c:v>
                </c:pt>
                <c:pt idx="11">
                  <c:v>-0.33333333333333331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62-47BC-A18D-217FB7603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8200336"/>
        <c:axId val="858200880"/>
      </c:lineChart>
      <c:catAx>
        <c:axId val="858200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858200880"/>
        <c:crosses val="autoZero"/>
        <c:auto val="1"/>
        <c:lblAlgn val="ctr"/>
        <c:lblOffset val="100"/>
        <c:noMultiLvlLbl val="0"/>
      </c:catAx>
      <c:valAx>
        <c:axId val="858200880"/>
        <c:scaling>
          <c:orientation val="minMax"/>
          <c:max val="0.4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5820033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Holt-Winters Forecast with Prediction Intervals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bg1">
                <a:lumMod val="50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Chart'!$A$2:$L$2</c:f>
              <c:numCache>
                <c:formatCode>General</c:formatCode>
                <c:ptCount val="12"/>
                <c:pt idx="0">
                  <c:v>263.59245750561206</c:v>
                </c:pt>
                <c:pt idx="1">
                  <c:v>284.284801306921</c:v>
                </c:pt>
                <c:pt idx="2">
                  <c:v>264.70011181000552</c:v>
                </c:pt>
                <c:pt idx="3">
                  <c:v>266.19742620443674</c:v>
                </c:pt>
                <c:pt idx="4">
                  <c:v>309.37897767414205</c:v>
                </c:pt>
                <c:pt idx="5">
                  <c:v>279.54575840041991</c:v>
                </c:pt>
                <c:pt idx="6">
                  <c:v>291.2321275881547</c:v>
                </c:pt>
                <c:pt idx="7">
                  <c:v>300.17027822551393</c:v>
                </c:pt>
                <c:pt idx="8">
                  <c:v>326.65430029243771</c:v>
                </c:pt>
                <c:pt idx="9">
                  <c:v>348.2146780049311</c:v>
                </c:pt>
                <c:pt idx="10">
                  <c:v>370.74384800556328</c:v>
                </c:pt>
                <c:pt idx="11">
                  <c:v>436.81685648284679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0-4737-A29F-DA4B838A5032}"/>
            </c:ext>
          </c:extLst>
        </c:ser>
        <c:ser>
          <c:idx val="1"/>
          <c:order val="1"/>
          <c:spPr>
            <a:solidFill>
              <a:schemeClr val="bg1">
                <a:lumMod val="65000"/>
              </a:schemeClr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Chart'!$A$3:$L$3</c:f>
              <c:numCache>
                <c:formatCode>General</c:formatCode>
                <c:ptCount val="12"/>
                <c:pt idx="0">
                  <c:v>245.39859652803648</c:v>
                </c:pt>
                <c:pt idx="1">
                  <c:v>263.53954690287514</c:v>
                </c:pt>
                <c:pt idx="2">
                  <c:v>241.39635845130181</c:v>
                </c:pt>
                <c:pt idx="3">
                  <c:v>240.89345365596481</c:v>
                </c:pt>
                <c:pt idx="4">
                  <c:v>280.75679679564001</c:v>
                </c:pt>
                <c:pt idx="5">
                  <c:v>248.7223000285764</c:v>
                </c:pt>
                <c:pt idx="6">
                  <c:v>257.47411876968459</c:v>
                </c:pt>
                <c:pt idx="7">
                  <c:v>263.92323321424914</c:v>
                </c:pt>
                <c:pt idx="8">
                  <c:v>286.69986683651626</c:v>
                </c:pt>
                <c:pt idx="9">
                  <c:v>300.03619570121651</c:v>
                </c:pt>
                <c:pt idx="10">
                  <c:v>314.90561565873446</c:v>
                </c:pt>
                <c:pt idx="11">
                  <c:v>368.04268671624834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0-4737-A29F-DA4B838A5032}"/>
            </c:ext>
          </c:extLst>
        </c:ser>
        <c:ser>
          <c:idx val="2"/>
          <c:order val="2"/>
          <c:spPr>
            <a:solidFill>
              <a:schemeClr val="bg1"/>
            </a:solidFill>
          </c:spPr>
          <c:cat>
            <c:numRef>
              <c:f>'Fan Chart'!$A$1:$L$1</c:f>
              <c:numCache>
                <c:formatCode>General</c:formatCode>
                <c:ptCount val="12"/>
                <c:pt idx="0">
                  <c:v>37</c:v>
                </c:pt>
                <c:pt idx="1">
                  <c:v>38</c:v>
                </c:pt>
                <c:pt idx="2">
                  <c:v>39</c:v>
                </c:pt>
                <c:pt idx="3">
                  <c:v>40</c:v>
                </c:pt>
                <c:pt idx="4">
                  <c:v>41</c:v>
                </c:pt>
                <c:pt idx="5">
                  <c:v>42</c:v>
                </c:pt>
                <c:pt idx="6">
                  <c:v>43</c:v>
                </c:pt>
                <c:pt idx="7">
                  <c:v>44</c:v>
                </c:pt>
                <c:pt idx="8">
                  <c:v>45</c:v>
                </c:pt>
                <c:pt idx="9">
                  <c:v>46</c:v>
                </c:pt>
                <c:pt idx="10">
                  <c:v>47</c:v>
                </c:pt>
                <c:pt idx="11">
                  <c:v>48</c:v>
                </c:pt>
              </c:numCache>
            </c:numRef>
          </c:cat>
          <c:val>
            <c:numRef>
              <c:f>'Fan Chart'!$A$4:$L$4</c:f>
              <c:numCache>
                <c:formatCode>General</c:formatCode>
                <c:ptCount val="12"/>
                <c:pt idx="0">
                  <c:v>223.96016591362732</c:v>
                </c:pt>
                <c:pt idx="1">
                  <c:v>240.79282637587986</c:v>
                </c:pt>
                <c:pt idx="2">
                  <c:v>218.67648164320588</c:v>
                </c:pt>
                <c:pt idx="3">
                  <c:v>216.81984892572046</c:v>
                </c:pt>
                <c:pt idx="4">
                  <c:v>251.66146193030249</c:v>
                </c:pt>
                <c:pt idx="5">
                  <c:v>220.2130080085208</c:v>
                </c:pt>
                <c:pt idx="6">
                  <c:v>224.33027669983619</c:v>
                </c:pt>
                <c:pt idx="7">
                  <c:v>230.7294852765398</c:v>
                </c:pt>
                <c:pt idx="8">
                  <c:v>243.52656472343065</c:v>
                </c:pt>
                <c:pt idx="9">
                  <c:v>254.12894070199349</c:v>
                </c:pt>
                <c:pt idx="10">
                  <c:v>263.29319999064705</c:v>
                </c:pt>
                <c:pt idx="11">
                  <c:v>302.76810484369963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0-4737-A29F-DA4B838A5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94992"/>
        <c:axId val="995596624"/>
      </c:areaChart>
      <c:catAx>
        <c:axId val="995594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6624"/>
        <c:crosses val="autoZero"/>
        <c:auto val="1"/>
        <c:lblAlgn val="ctr"/>
        <c:lblOffset val="100"/>
        <c:noMultiLvlLbl val="0"/>
      </c:catAx>
      <c:valAx>
        <c:axId val="995596624"/>
        <c:scaling>
          <c:orientation val="minMax"/>
          <c:min val="2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5594992"/>
        <c:crosses val="autoZero"/>
        <c:crossBetween val="midCat"/>
      </c:valAx>
    </c:plotArea>
    <c:plotVisOnly val="1"/>
    <c:dispBlanksAs val="zero"/>
    <c:showDLblsOverMax val="0"/>
  </c:chart>
  <c:txPr>
    <a:bodyPr/>
    <a:lstStyle/>
    <a:p>
      <a:pPr>
        <a:defRPr sz="1800"/>
      </a:pPr>
      <a:endParaRPr lang="en-US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330200</xdr:colOff>
      <xdr:row>4</xdr:row>
      <xdr:rowOff>127000</xdr:rowOff>
    </xdr:from>
    <xdr:to>
      <xdr:col>13</xdr:col>
      <xdr:colOff>571500</xdr:colOff>
      <xdr:row>29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5</xdr:row>
      <xdr:rowOff>107950</xdr:rowOff>
    </xdr:from>
    <xdr:to>
      <xdr:col>16</xdr:col>
      <xdr:colOff>647700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495300</xdr:colOff>
      <xdr:row>42</xdr:row>
      <xdr:rowOff>0</xdr:rowOff>
    </xdr:from>
    <xdr:to>
      <xdr:col>12</xdr:col>
      <xdr:colOff>660400</xdr:colOff>
      <xdr:row>62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596900</xdr:colOff>
      <xdr:row>43</xdr:row>
      <xdr:rowOff>12700</xdr:rowOff>
    </xdr:from>
    <xdr:to>
      <xdr:col>15</xdr:col>
      <xdr:colOff>63500</xdr:colOff>
      <xdr:row>69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</xdr:colOff>
      <xdr:row>37</xdr:row>
      <xdr:rowOff>95250</xdr:rowOff>
    </xdr:from>
    <xdr:to>
      <xdr:col>9</xdr:col>
      <xdr:colOff>431800</xdr:colOff>
      <xdr:row>64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37</xdr:row>
      <xdr:rowOff>95250</xdr:rowOff>
    </xdr:from>
    <xdr:to>
      <xdr:col>4</xdr:col>
      <xdr:colOff>990600</xdr:colOff>
      <xdr:row>58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50800</xdr:colOff>
      <xdr:row>13</xdr:row>
      <xdr:rowOff>158750</xdr:rowOff>
    </xdr:from>
    <xdr:to>
      <xdr:col>6</xdr:col>
      <xdr:colOff>736600</xdr:colOff>
      <xdr:row>33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65</xdr:row>
      <xdr:rowOff>25400</xdr:rowOff>
    </xdr:from>
    <xdr:to>
      <xdr:col>7</xdr:col>
      <xdr:colOff>622300</xdr:colOff>
      <xdr:row>89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45</xdr:row>
      <xdr:rowOff>0</xdr:rowOff>
    </xdr:from>
    <xdr:to>
      <xdr:col>15</xdr:col>
      <xdr:colOff>38100</xdr:colOff>
      <xdr:row>71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4</xdr:row>
      <xdr:rowOff>114300</xdr:rowOff>
    </xdr:from>
    <xdr:to>
      <xdr:col>11</xdr:col>
      <xdr:colOff>762000</xdr:colOff>
      <xdr:row>30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42"/>
  <sheetViews>
    <sheetView zoomScale="150" zoomScaleNormal="150" zoomScalePageLayoutView="150" workbookViewId="0"/>
  </sheetViews>
  <sheetFormatPr defaultColWidth="11" defaultRowHeight="15.75" x14ac:dyDescent="0.25"/>
  <cols>
    <col min="1" max="1" width="6.375" customWidth="1"/>
    <col min="2" max="2" width="12.125" style="14" bestFit="1" customWidth="1"/>
  </cols>
  <sheetData>
    <row r="1" spans="1:2" x14ac:dyDescent="0.25">
      <c r="A1" s="15" t="s">
        <v>1</v>
      </c>
      <c r="B1" s="16" t="s">
        <v>0</v>
      </c>
    </row>
    <row r="2" spans="1:2" s="28" customFormat="1" ht="12" customHeight="1" x14ac:dyDescent="0.25">
      <c r="A2" s="26">
        <v>1</v>
      </c>
      <c r="B2" s="27">
        <v>165</v>
      </c>
    </row>
    <row r="3" spans="1:2" s="28" customFormat="1" ht="12" customHeight="1" x14ac:dyDescent="0.25">
      <c r="A3" s="26">
        <v>2</v>
      </c>
      <c r="B3" s="27">
        <v>171</v>
      </c>
    </row>
    <row r="4" spans="1:2" s="28" customFormat="1" ht="12" customHeight="1" x14ac:dyDescent="0.25">
      <c r="A4" s="26">
        <v>3</v>
      </c>
      <c r="B4" s="27">
        <v>147</v>
      </c>
    </row>
    <row r="5" spans="1:2" s="28" customFormat="1" ht="12" customHeight="1" x14ac:dyDescent="0.25">
      <c r="A5" s="26">
        <v>4</v>
      </c>
      <c r="B5" s="27">
        <v>143</v>
      </c>
    </row>
    <row r="6" spans="1:2" s="28" customFormat="1" ht="12" customHeight="1" x14ac:dyDescent="0.25">
      <c r="A6" s="26">
        <v>5</v>
      </c>
      <c r="B6" s="27">
        <v>164</v>
      </c>
    </row>
    <row r="7" spans="1:2" s="28" customFormat="1" ht="12" customHeight="1" x14ac:dyDescent="0.25">
      <c r="A7" s="26">
        <v>6</v>
      </c>
      <c r="B7" s="27">
        <v>160</v>
      </c>
    </row>
    <row r="8" spans="1:2" s="28" customFormat="1" ht="12" customHeight="1" x14ac:dyDescent="0.25">
      <c r="A8" s="26">
        <v>7</v>
      </c>
      <c r="B8" s="27">
        <v>152</v>
      </c>
    </row>
    <row r="9" spans="1:2" s="28" customFormat="1" ht="12" customHeight="1" x14ac:dyDescent="0.25">
      <c r="A9" s="26">
        <v>8</v>
      </c>
      <c r="B9" s="27">
        <v>150</v>
      </c>
    </row>
    <row r="10" spans="1:2" s="28" customFormat="1" ht="12" customHeight="1" x14ac:dyDescent="0.25">
      <c r="A10" s="26">
        <v>9</v>
      </c>
      <c r="B10" s="27">
        <v>159</v>
      </c>
    </row>
    <row r="11" spans="1:2" s="28" customFormat="1" ht="12" customHeight="1" x14ac:dyDescent="0.25">
      <c r="A11" s="26">
        <v>10</v>
      </c>
      <c r="B11" s="27">
        <v>169</v>
      </c>
    </row>
    <row r="12" spans="1:2" s="28" customFormat="1" ht="12" customHeight="1" x14ac:dyDescent="0.25">
      <c r="A12" s="26">
        <v>11</v>
      </c>
      <c r="B12" s="27">
        <v>173</v>
      </c>
    </row>
    <row r="13" spans="1:2" s="28" customFormat="1" ht="12" customHeight="1" x14ac:dyDescent="0.25">
      <c r="A13" s="26">
        <v>12</v>
      </c>
      <c r="B13" s="27">
        <v>203</v>
      </c>
    </row>
    <row r="14" spans="1:2" s="28" customFormat="1" ht="12" customHeight="1" x14ac:dyDescent="0.25">
      <c r="A14" s="26">
        <v>13</v>
      </c>
      <c r="B14" s="27">
        <v>169</v>
      </c>
    </row>
    <row r="15" spans="1:2" s="28" customFormat="1" ht="12" customHeight="1" x14ac:dyDescent="0.25">
      <c r="A15" s="26">
        <v>14</v>
      </c>
      <c r="B15" s="27">
        <v>166</v>
      </c>
    </row>
    <row r="16" spans="1:2" s="28" customFormat="1" ht="12" customHeight="1" x14ac:dyDescent="0.25">
      <c r="A16" s="26">
        <v>15</v>
      </c>
      <c r="B16" s="27">
        <v>162</v>
      </c>
    </row>
    <row r="17" spans="1:2" s="28" customFormat="1" ht="12" customHeight="1" x14ac:dyDescent="0.25">
      <c r="A17" s="26">
        <v>16</v>
      </c>
      <c r="B17" s="27">
        <v>147</v>
      </c>
    </row>
    <row r="18" spans="1:2" s="28" customFormat="1" ht="12" customHeight="1" x14ac:dyDescent="0.25">
      <c r="A18" s="26">
        <v>17</v>
      </c>
      <c r="B18" s="27">
        <v>188</v>
      </c>
    </row>
    <row r="19" spans="1:2" s="28" customFormat="1" ht="12" customHeight="1" x14ac:dyDescent="0.25">
      <c r="A19" s="26">
        <v>18</v>
      </c>
      <c r="B19" s="27">
        <v>161</v>
      </c>
    </row>
    <row r="20" spans="1:2" s="28" customFormat="1" ht="12" customHeight="1" x14ac:dyDescent="0.25">
      <c r="A20" s="26">
        <v>19</v>
      </c>
      <c r="B20" s="27">
        <v>162</v>
      </c>
    </row>
    <row r="21" spans="1:2" s="28" customFormat="1" ht="12" customHeight="1" x14ac:dyDescent="0.25">
      <c r="A21" s="26">
        <v>20</v>
      </c>
      <c r="B21" s="27">
        <v>169</v>
      </c>
    </row>
    <row r="22" spans="1:2" s="28" customFormat="1" ht="12" customHeight="1" x14ac:dyDescent="0.25">
      <c r="A22" s="26">
        <v>21</v>
      </c>
      <c r="B22" s="27">
        <v>185</v>
      </c>
    </row>
    <row r="23" spans="1:2" s="28" customFormat="1" ht="12" customHeight="1" x14ac:dyDescent="0.25">
      <c r="A23" s="26">
        <v>22</v>
      </c>
      <c r="B23" s="27">
        <v>188</v>
      </c>
    </row>
    <row r="24" spans="1:2" s="28" customFormat="1" ht="12" customHeight="1" x14ac:dyDescent="0.25">
      <c r="A24" s="26">
        <v>23</v>
      </c>
      <c r="B24" s="27">
        <v>200</v>
      </c>
    </row>
    <row r="25" spans="1:2" s="28" customFormat="1" ht="12" customHeight="1" x14ac:dyDescent="0.25">
      <c r="A25" s="26">
        <v>24</v>
      </c>
      <c r="B25" s="27">
        <v>229</v>
      </c>
    </row>
    <row r="26" spans="1:2" s="28" customFormat="1" ht="12" customHeight="1" x14ac:dyDescent="0.25">
      <c r="A26" s="26">
        <v>25</v>
      </c>
      <c r="B26" s="27">
        <v>189</v>
      </c>
    </row>
    <row r="27" spans="1:2" s="28" customFormat="1" ht="12" customHeight="1" x14ac:dyDescent="0.25">
      <c r="A27" s="26">
        <v>26</v>
      </c>
      <c r="B27" s="27">
        <v>218</v>
      </c>
    </row>
    <row r="28" spans="1:2" s="28" customFormat="1" ht="12" customHeight="1" x14ac:dyDescent="0.25">
      <c r="A28" s="26">
        <v>27</v>
      </c>
      <c r="B28" s="27">
        <v>185</v>
      </c>
    </row>
    <row r="29" spans="1:2" s="28" customFormat="1" ht="12" customHeight="1" x14ac:dyDescent="0.25">
      <c r="A29" s="26">
        <v>28</v>
      </c>
      <c r="B29" s="27">
        <v>199</v>
      </c>
    </row>
    <row r="30" spans="1:2" s="28" customFormat="1" ht="12" customHeight="1" x14ac:dyDescent="0.25">
      <c r="A30" s="26">
        <v>29</v>
      </c>
      <c r="B30" s="27">
        <v>210</v>
      </c>
    </row>
    <row r="31" spans="1:2" s="28" customFormat="1" ht="12" customHeight="1" x14ac:dyDescent="0.25">
      <c r="A31" s="26">
        <v>30</v>
      </c>
      <c r="B31" s="27">
        <v>193</v>
      </c>
    </row>
    <row r="32" spans="1:2" s="28" customFormat="1" ht="12" customHeight="1" x14ac:dyDescent="0.25">
      <c r="A32" s="26">
        <v>31</v>
      </c>
      <c r="B32" s="27">
        <v>211</v>
      </c>
    </row>
    <row r="33" spans="1:2" s="28" customFormat="1" ht="12" customHeight="1" x14ac:dyDescent="0.25">
      <c r="A33" s="26">
        <v>32</v>
      </c>
      <c r="B33" s="27">
        <v>208</v>
      </c>
    </row>
    <row r="34" spans="1:2" s="28" customFormat="1" ht="12" customHeight="1" x14ac:dyDescent="0.25">
      <c r="A34" s="26">
        <v>33</v>
      </c>
      <c r="B34" s="27">
        <v>216</v>
      </c>
    </row>
    <row r="35" spans="1:2" s="28" customFormat="1" ht="12" customHeight="1" x14ac:dyDescent="0.25">
      <c r="A35" s="26">
        <v>34</v>
      </c>
      <c r="B35" s="27">
        <v>218</v>
      </c>
    </row>
    <row r="36" spans="1:2" s="28" customFormat="1" ht="12" customHeight="1" x14ac:dyDescent="0.25">
      <c r="A36" s="26">
        <v>35</v>
      </c>
      <c r="B36" s="27">
        <v>264</v>
      </c>
    </row>
    <row r="37" spans="1:2" s="28" customFormat="1" ht="12" customHeight="1" x14ac:dyDescent="0.25">
      <c r="A37" s="29">
        <v>36</v>
      </c>
      <c r="B37" s="30">
        <v>304</v>
      </c>
    </row>
    <row r="39" spans="1:2" x14ac:dyDescent="0.25">
      <c r="A39" t="s">
        <v>30</v>
      </c>
      <c r="B39" s="24">
        <f>INDEX(LINEST(B2:B37,A2:A37,TRUE,TRUE),1,1)</f>
        <v>2.5386100386100385</v>
      </c>
    </row>
    <row r="40" spans="1:2" x14ac:dyDescent="0.25">
      <c r="A40" t="s">
        <v>33</v>
      </c>
      <c r="B40" s="24">
        <f>INDEX(LINEST(B2:B37,A2:A37,TRUE,TRUE),2,1)</f>
        <v>0.34018172051263179</v>
      </c>
    </row>
    <row r="41" spans="1:2" x14ac:dyDescent="0.25">
      <c r="A41" t="s">
        <v>31</v>
      </c>
      <c r="B41" s="14">
        <f>INDEX(LINEST(B2:B37,A2:A37,TRUE,TRUE),4,2)</f>
        <v>34</v>
      </c>
    </row>
    <row r="42" spans="1:2" x14ac:dyDescent="0.25">
      <c r="A42" t="s">
        <v>32</v>
      </c>
      <c r="B42" s="25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53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1" max="1" width="12.125" bestFit="1" customWidth="1"/>
    <col min="2" max="2" width="10.625" customWidth="1"/>
    <col min="3" max="3" width="16.625" customWidth="1"/>
    <col min="6" max="6" width="10.875" customWidth="1"/>
  </cols>
  <sheetData>
    <row r="1" spans="1:6" s="1" customFormat="1" ht="31.5" x14ac:dyDescent="0.25">
      <c r="A1" s="1" t="s">
        <v>2</v>
      </c>
      <c r="C1" s="1" t="s">
        <v>15</v>
      </c>
      <c r="E1" s="19" t="s">
        <v>8</v>
      </c>
      <c r="F1" s="19" t="s">
        <v>9</v>
      </c>
    </row>
    <row r="2" spans="1:6" x14ac:dyDescent="0.25">
      <c r="A2">
        <v>36</v>
      </c>
      <c r="C2" s="2">
        <v>0.73208959976663501</v>
      </c>
      <c r="E2" s="20">
        <f>SUM(F6:F41)</f>
        <v>14555.771064023324</v>
      </c>
      <c r="F2" s="20">
        <f>SQRT(E2/(36-1))</f>
        <v>20.393115830049346</v>
      </c>
    </row>
    <row r="4" spans="1:6" s="1" customFormat="1" ht="31.5" x14ac:dyDescent="0.25">
      <c r="A4" s="1" t="s">
        <v>1</v>
      </c>
      <c r="B4" s="1" t="s">
        <v>0</v>
      </c>
      <c r="C4" s="1" t="s">
        <v>4</v>
      </c>
      <c r="D4" s="1" t="s">
        <v>5</v>
      </c>
      <c r="E4" s="1" t="s">
        <v>6</v>
      </c>
      <c r="F4" s="1" t="s">
        <v>7</v>
      </c>
    </row>
    <row r="5" spans="1:6" s="1" customFormat="1" x14ac:dyDescent="0.25">
      <c r="A5" s="3">
        <v>0</v>
      </c>
      <c r="B5" s="3"/>
      <c r="C5" s="3">
        <f>AVERAGE(B6:B17)</f>
        <v>163</v>
      </c>
      <c r="D5" s="3"/>
      <c r="E5" s="3"/>
      <c r="F5" s="3"/>
    </row>
    <row r="6" spans="1:6" x14ac:dyDescent="0.25">
      <c r="A6">
        <v>1</v>
      </c>
      <c r="B6">
        <v>165</v>
      </c>
      <c r="C6">
        <f>C5+C$2*E6</f>
        <v>164.46417919953328</v>
      </c>
      <c r="D6">
        <f>C5</f>
        <v>163</v>
      </c>
      <c r="E6">
        <f>B6-D6</f>
        <v>2</v>
      </c>
      <c r="F6">
        <f>E6^2</f>
        <v>4</v>
      </c>
    </row>
    <row r="7" spans="1:6" x14ac:dyDescent="0.25">
      <c r="A7">
        <v>2</v>
      </c>
      <c r="B7">
        <v>171</v>
      </c>
      <c r="C7" s="18">
        <f t="shared" ref="C7:C41" si="0">C6+C$2*E7</f>
        <v>169.24898563349342</v>
      </c>
      <c r="D7" s="18">
        <f t="shared" ref="D7:D41" si="1">C6</f>
        <v>164.46417919953328</v>
      </c>
      <c r="E7" s="18">
        <f t="shared" ref="E7:E41" si="2">B7-D7</f>
        <v>6.5358208004667233</v>
      </c>
      <c r="F7" s="18">
        <f t="shared" ref="F7:F41" si="3">E7^2</f>
        <v>42.716953535813481</v>
      </c>
    </row>
    <row r="8" spans="1:6" x14ac:dyDescent="0.25">
      <c r="A8">
        <v>3</v>
      </c>
      <c r="B8">
        <v>147</v>
      </c>
      <c r="C8" s="18">
        <f t="shared" si="0"/>
        <v>152.96073464585561</v>
      </c>
      <c r="D8" s="18">
        <f t="shared" si="1"/>
        <v>169.24898563349342</v>
      </c>
      <c r="E8" s="18">
        <f t="shared" si="2"/>
        <v>-22.248985633493419</v>
      </c>
      <c r="F8" s="18">
        <f t="shared" si="3"/>
        <v>495.01736171939655</v>
      </c>
    </row>
    <row r="9" spans="1:6" x14ac:dyDescent="0.25">
      <c r="A9">
        <v>4</v>
      </c>
      <c r="B9">
        <v>143</v>
      </c>
      <c r="C9" s="18">
        <f t="shared" si="0"/>
        <v>145.66858440558951</v>
      </c>
      <c r="D9" s="18">
        <f t="shared" si="1"/>
        <v>152.96073464585561</v>
      </c>
      <c r="E9" s="18">
        <f t="shared" si="2"/>
        <v>-9.9607346458556094</v>
      </c>
      <c r="F9" s="18">
        <f t="shared" si="3"/>
        <v>99.216234685148279</v>
      </c>
    </row>
    <row r="10" spans="1:6" x14ac:dyDescent="0.25">
      <c r="A10">
        <v>5</v>
      </c>
      <c r="B10">
        <v>164</v>
      </c>
      <c r="C10" s="18">
        <f t="shared" si="0"/>
        <v>159.08882311125734</v>
      </c>
      <c r="D10" s="18">
        <f t="shared" si="1"/>
        <v>145.66858440558951</v>
      </c>
      <c r="E10" s="18">
        <f t="shared" si="2"/>
        <v>18.331415594410487</v>
      </c>
      <c r="F10" s="18">
        <f t="shared" si="3"/>
        <v>336.040797694996</v>
      </c>
    </row>
    <row r="11" spans="1:6" x14ac:dyDescent="0.25">
      <c r="A11">
        <v>6</v>
      </c>
      <c r="B11">
        <v>160</v>
      </c>
      <c r="C11" s="18">
        <f t="shared" si="0"/>
        <v>159.75588623505357</v>
      </c>
      <c r="D11" s="18">
        <f t="shared" si="1"/>
        <v>159.08882311125734</v>
      </c>
      <c r="E11" s="18">
        <f t="shared" si="2"/>
        <v>0.91117688874265923</v>
      </c>
      <c r="F11" s="18">
        <f t="shared" si="3"/>
        <v>0.83024332257875244</v>
      </c>
    </row>
    <row r="12" spans="1:6" x14ac:dyDescent="0.25">
      <c r="A12">
        <v>7</v>
      </c>
      <c r="B12">
        <v>152</v>
      </c>
      <c r="C12" s="18">
        <f t="shared" si="0"/>
        <v>154.07788258539765</v>
      </c>
      <c r="D12" s="18">
        <f t="shared" si="1"/>
        <v>159.75588623505357</v>
      </c>
      <c r="E12" s="18">
        <f t="shared" si="2"/>
        <v>-7.7558862350535662</v>
      </c>
      <c r="F12" s="18">
        <f t="shared" si="3"/>
        <v>60.153771291093385</v>
      </c>
    </row>
    <row r="13" spans="1:6" x14ac:dyDescent="0.25">
      <c r="A13">
        <v>8</v>
      </c>
      <c r="B13">
        <v>150</v>
      </c>
      <c r="C13" s="18">
        <f t="shared" si="0"/>
        <v>151.09250715555856</v>
      </c>
      <c r="D13" s="18">
        <f t="shared" si="1"/>
        <v>154.07788258539765</v>
      </c>
      <c r="E13" s="18">
        <f t="shared" si="2"/>
        <v>-4.0778825853976457</v>
      </c>
      <c r="F13" s="18">
        <f t="shared" si="3"/>
        <v>16.629126380289389</v>
      </c>
    </row>
    <row r="14" spans="1:6" x14ac:dyDescent="0.25">
      <c r="A14">
        <v>9</v>
      </c>
      <c r="B14">
        <v>159</v>
      </c>
      <c r="C14" s="18">
        <f t="shared" si="0"/>
        <v>156.88150042720324</v>
      </c>
      <c r="D14" s="18">
        <f t="shared" si="1"/>
        <v>151.09250715555856</v>
      </c>
      <c r="E14" s="18">
        <f t="shared" si="2"/>
        <v>7.9074928444414354</v>
      </c>
      <c r="F14" s="18">
        <f t="shared" si="3"/>
        <v>62.528443084892501</v>
      </c>
    </row>
    <row r="15" spans="1:6" x14ac:dyDescent="0.25">
      <c r="A15">
        <v>10</v>
      </c>
      <c r="B15">
        <v>169</v>
      </c>
      <c r="C15" s="18">
        <f t="shared" si="0"/>
        <v>165.75332792922416</v>
      </c>
      <c r="D15" s="18">
        <f t="shared" si="1"/>
        <v>156.88150042720324</v>
      </c>
      <c r="E15" s="18">
        <f t="shared" si="2"/>
        <v>12.118499572796765</v>
      </c>
      <c r="F15" s="18">
        <f t="shared" si="3"/>
        <v>146.85803189587537</v>
      </c>
    </row>
    <row r="16" spans="1:6" x14ac:dyDescent="0.25">
      <c r="A16">
        <v>11</v>
      </c>
      <c r="B16">
        <v>173</v>
      </c>
      <c r="C16" s="18">
        <f t="shared" si="0"/>
        <v>171.0585411851585</v>
      </c>
      <c r="D16" s="18">
        <f t="shared" si="1"/>
        <v>165.75332792922416</v>
      </c>
      <c r="E16" s="18">
        <f t="shared" si="2"/>
        <v>7.2466720707758441</v>
      </c>
      <c r="F16" s="18">
        <f t="shared" si="3"/>
        <v>52.514256101362662</v>
      </c>
    </row>
    <row r="17" spans="1:6" x14ac:dyDescent="0.25">
      <c r="A17">
        <v>12</v>
      </c>
      <c r="B17">
        <v>203</v>
      </c>
      <c r="C17" s="18">
        <f t="shared" si="0"/>
        <v>194.44255098487827</v>
      </c>
      <c r="D17" s="18">
        <f t="shared" si="1"/>
        <v>171.0585411851585</v>
      </c>
      <c r="E17" s="18">
        <f t="shared" si="2"/>
        <v>31.941458814841496</v>
      </c>
      <c r="F17" s="18">
        <f t="shared" si="3"/>
        <v>1020.2567912202155</v>
      </c>
    </row>
    <row r="18" spans="1:6" x14ac:dyDescent="0.25">
      <c r="A18">
        <v>13</v>
      </c>
      <c r="B18">
        <v>169</v>
      </c>
      <c r="C18" s="18">
        <f t="shared" si="0"/>
        <v>175.81632401731653</v>
      </c>
      <c r="D18" s="18">
        <f t="shared" si="1"/>
        <v>194.44255098487827</v>
      </c>
      <c r="E18" s="18">
        <f t="shared" si="2"/>
        <v>-25.442550984878267</v>
      </c>
      <c r="F18" s="18">
        <f t="shared" si="3"/>
        <v>647.32340061813011</v>
      </c>
    </row>
    <row r="19" spans="1:6" x14ac:dyDescent="0.25">
      <c r="A19">
        <v>14</v>
      </c>
      <c r="B19">
        <v>166</v>
      </c>
      <c r="C19" s="18">
        <f t="shared" si="0"/>
        <v>168.62989529629965</v>
      </c>
      <c r="D19" s="18">
        <f t="shared" si="1"/>
        <v>175.81632401731653</v>
      </c>
      <c r="E19" s="18">
        <f t="shared" si="2"/>
        <v>-9.816324017316532</v>
      </c>
      <c r="F19" s="18">
        <f t="shared" si="3"/>
        <v>96.360217212945372</v>
      </c>
    </row>
    <row r="20" spans="1:6" x14ac:dyDescent="0.25">
      <c r="A20">
        <v>15</v>
      </c>
      <c r="B20">
        <v>162</v>
      </c>
      <c r="C20" s="18">
        <f t="shared" si="0"/>
        <v>163.77621790233695</v>
      </c>
      <c r="D20" s="18">
        <f t="shared" si="1"/>
        <v>168.62989529629965</v>
      </c>
      <c r="E20" s="18">
        <f t="shared" si="2"/>
        <v>-6.6298952962996509</v>
      </c>
      <c r="F20" s="18">
        <f t="shared" si="3"/>
        <v>43.955511639896237</v>
      </c>
    </row>
    <row r="21" spans="1:6" x14ac:dyDescent="0.25">
      <c r="A21">
        <v>16</v>
      </c>
      <c r="B21">
        <v>147</v>
      </c>
      <c r="C21" s="18">
        <f t="shared" si="0"/>
        <v>151.49452325261723</v>
      </c>
      <c r="D21" s="18">
        <f t="shared" si="1"/>
        <v>163.77621790233695</v>
      </c>
      <c r="E21" s="18">
        <f t="shared" si="2"/>
        <v>-16.776217902336953</v>
      </c>
      <c r="F21" s="18">
        <f t="shared" si="3"/>
        <v>281.44148710669089</v>
      </c>
    </row>
    <row r="22" spans="1:6" x14ac:dyDescent="0.25">
      <c r="A22">
        <v>17</v>
      </c>
      <c r="B22">
        <v>188</v>
      </c>
      <c r="C22" s="18">
        <f t="shared" si="0"/>
        <v>178.21980311389888</v>
      </c>
      <c r="D22" s="18">
        <f t="shared" si="1"/>
        <v>151.49452325261723</v>
      </c>
      <c r="E22" s="18">
        <f t="shared" si="2"/>
        <v>36.505476747382772</v>
      </c>
      <c r="F22" s="18">
        <f t="shared" si="3"/>
        <v>1332.6498325537043</v>
      </c>
    </row>
    <row r="23" spans="1:6" x14ac:dyDescent="0.25">
      <c r="A23">
        <v>18</v>
      </c>
      <c r="B23">
        <v>161</v>
      </c>
      <c r="C23" s="18">
        <f t="shared" si="0"/>
        <v>165.61336434418439</v>
      </c>
      <c r="D23" s="18">
        <f t="shared" si="1"/>
        <v>178.21980311389888</v>
      </c>
      <c r="E23" s="18">
        <f t="shared" si="2"/>
        <v>-17.219803113898877</v>
      </c>
      <c r="F23" s="18">
        <f t="shared" si="3"/>
        <v>296.52161928144147</v>
      </c>
    </row>
    <row r="24" spans="1:6" x14ac:dyDescent="0.25">
      <c r="A24">
        <v>19</v>
      </c>
      <c r="B24">
        <v>162</v>
      </c>
      <c r="C24" s="18">
        <f t="shared" si="0"/>
        <v>162.96805788763942</v>
      </c>
      <c r="D24" s="18">
        <f t="shared" si="1"/>
        <v>165.61336434418439</v>
      </c>
      <c r="E24" s="18">
        <f t="shared" si="2"/>
        <v>-3.6133643441843901</v>
      </c>
      <c r="F24" s="18">
        <f t="shared" si="3"/>
        <v>13.056401883823087</v>
      </c>
    </row>
    <row r="25" spans="1:6" x14ac:dyDescent="0.25">
      <c r="A25">
        <v>20</v>
      </c>
      <c r="B25">
        <v>169</v>
      </c>
      <c r="C25" s="18">
        <f t="shared" si="0"/>
        <v>167.383979974493</v>
      </c>
      <c r="D25" s="18">
        <f t="shared" si="1"/>
        <v>162.96805788763942</v>
      </c>
      <c r="E25" s="18">
        <f t="shared" si="2"/>
        <v>6.0319421123605821</v>
      </c>
      <c r="F25" s="18">
        <f t="shared" si="3"/>
        <v>36.384325646869044</v>
      </c>
    </row>
    <row r="26" spans="1:6" x14ac:dyDescent="0.25">
      <c r="A26">
        <v>21</v>
      </c>
      <c r="B26">
        <v>185</v>
      </c>
      <c r="C26" s="18">
        <f t="shared" si="0"/>
        <v>180.28048502444744</v>
      </c>
      <c r="D26" s="18">
        <f t="shared" si="1"/>
        <v>167.383979974493</v>
      </c>
      <c r="E26" s="18">
        <f t="shared" si="2"/>
        <v>17.616020025506998</v>
      </c>
      <c r="F26" s="18">
        <f t="shared" si="3"/>
        <v>310.3241615390636</v>
      </c>
    </row>
    <row r="27" spans="1:6" x14ac:dyDescent="0.25">
      <c r="A27">
        <v>22</v>
      </c>
      <c r="B27">
        <v>188</v>
      </c>
      <c r="C27" s="18">
        <f t="shared" si="0"/>
        <v>185.93186165329226</v>
      </c>
      <c r="D27" s="18">
        <f t="shared" si="1"/>
        <v>180.28048502444744</v>
      </c>
      <c r="E27" s="18">
        <f t="shared" si="2"/>
        <v>7.7195149755525563</v>
      </c>
      <c r="F27" s="18">
        <f t="shared" si="3"/>
        <v>59.59091145778018</v>
      </c>
    </row>
    <row r="28" spans="1:6" x14ac:dyDescent="0.25">
      <c r="A28">
        <v>23</v>
      </c>
      <c r="B28">
        <v>200</v>
      </c>
      <c r="C28" s="18">
        <f t="shared" si="0"/>
        <v>196.23099942499519</v>
      </c>
      <c r="D28" s="18">
        <f t="shared" si="1"/>
        <v>185.93186165329226</v>
      </c>
      <c r="E28" s="18">
        <f t="shared" si="2"/>
        <v>14.068138346707741</v>
      </c>
      <c r="F28" s="18">
        <f t="shared" si="3"/>
        <v>197.91251654210882</v>
      </c>
    </row>
    <row r="29" spans="1:6" x14ac:dyDescent="0.25">
      <c r="A29">
        <v>24</v>
      </c>
      <c r="B29">
        <v>229</v>
      </c>
      <c r="C29" s="18">
        <f t="shared" si="0"/>
        <v>220.22084394070311</v>
      </c>
      <c r="D29" s="18">
        <f t="shared" si="1"/>
        <v>196.23099942499519</v>
      </c>
      <c r="E29" s="18">
        <f t="shared" si="2"/>
        <v>32.76900057500481</v>
      </c>
      <c r="F29" s="18">
        <f t="shared" si="3"/>
        <v>1073.8073986846655</v>
      </c>
    </row>
    <row r="30" spans="1:6" x14ac:dyDescent="0.25">
      <c r="A30">
        <v>25</v>
      </c>
      <c r="B30">
        <v>189</v>
      </c>
      <c r="C30" s="18">
        <f t="shared" si="0"/>
        <v>197.36438879577719</v>
      </c>
      <c r="D30" s="18">
        <f t="shared" si="1"/>
        <v>220.22084394070311</v>
      </c>
      <c r="E30" s="18">
        <f t="shared" si="2"/>
        <v>-31.220843940703105</v>
      </c>
      <c r="F30" s="18">
        <f t="shared" si="3"/>
        <v>974.74109636973776</v>
      </c>
    </row>
    <row r="31" spans="1:6" x14ac:dyDescent="0.25">
      <c r="A31">
        <v>26</v>
      </c>
      <c r="B31">
        <v>218</v>
      </c>
      <c r="C31" s="18">
        <f t="shared" si="0"/>
        <v>212.47150514321655</v>
      </c>
      <c r="D31" s="18">
        <f t="shared" si="1"/>
        <v>197.36438879577719</v>
      </c>
      <c r="E31" s="18">
        <f t="shared" si="2"/>
        <v>20.635611204222812</v>
      </c>
      <c r="F31" s="18">
        <f t="shared" si="3"/>
        <v>425.82844977184607</v>
      </c>
    </row>
    <row r="32" spans="1:6" x14ac:dyDescent="0.25">
      <c r="A32">
        <v>27</v>
      </c>
      <c r="B32">
        <v>185</v>
      </c>
      <c r="C32" s="18">
        <f t="shared" si="0"/>
        <v>192.35990193793208</v>
      </c>
      <c r="D32" s="18">
        <f t="shared" si="1"/>
        <v>212.47150514321655</v>
      </c>
      <c r="E32" s="18">
        <f t="shared" si="2"/>
        <v>-27.471505143216547</v>
      </c>
      <c r="F32" s="18">
        <f t="shared" si="3"/>
        <v>754.68359483377321</v>
      </c>
    </row>
    <row r="33" spans="1:6" x14ac:dyDescent="0.25">
      <c r="A33">
        <v>28</v>
      </c>
      <c r="B33">
        <v>199</v>
      </c>
      <c r="C33" s="18">
        <f t="shared" si="0"/>
        <v>197.22104867060258</v>
      </c>
      <c r="D33" s="18">
        <f t="shared" si="1"/>
        <v>192.35990193793208</v>
      </c>
      <c r="E33" s="18">
        <f t="shared" si="2"/>
        <v>6.6400980620679206</v>
      </c>
      <c r="F33" s="18">
        <f t="shared" si="3"/>
        <v>44.090902273878157</v>
      </c>
    </row>
    <row r="34" spans="1:6" x14ac:dyDescent="0.25">
      <c r="A34">
        <v>29</v>
      </c>
      <c r="B34">
        <v>210</v>
      </c>
      <c r="C34" s="18">
        <f t="shared" si="0"/>
        <v>206.57638603477844</v>
      </c>
      <c r="D34" s="18">
        <f t="shared" si="1"/>
        <v>197.22104867060258</v>
      </c>
      <c r="E34" s="18">
        <f t="shared" si="2"/>
        <v>12.778951329397415</v>
      </c>
      <c r="F34" s="18">
        <f t="shared" si="3"/>
        <v>163.30159707910798</v>
      </c>
    </row>
    <row r="35" spans="1:6" x14ac:dyDescent="0.25">
      <c r="A35">
        <v>30</v>
      </c>
      <c r="B35">
        <v>193</v>
      </c>
      <c r="C35" s="18">
        <f t="shared" si="0"/>
        <v>196.63725501630014</v>
      </c>
      <c r="D35" s="18">
        <f t="shared" si="1"/>
        <v>206.57638603477844</v>
      </c>
      <c r="E35" s="18">
        <f t="shared" si="2"/>
        <v>-13.576386034778437</v>
      </c>
      <c r="F35" s="18">
        <f t="shared" si="3"/>
        <v>184.31825776532699</v>
      </c>
    </row>
    <row r="36" spans="1:6" x14ac:dyDescent="0.25">
      <c r="A36">
        <v>31</v>
      </c>
      <c r="B36">
        <v>211</v>
      </c>
      <c r="C36" s="18">
        <f t="shared" si="0"/>
        <v>207.15207124296722</v>
      </c>
      <c r="D36" s="18">
        <f t="shared" si="1"/>
        <v>196.63725501630014</v>
      </c>
      <c r="E36" s="18">
        <f t="shared" si="2"/>
        <v>14.362744983699855</v>
      </c>
      <c r="F36" s="18">
        <f t="shared" si="3"/>
        <v>206.28844346679534</v>
      </c>
    </row>
    <row r="37" spans="1:6" x14ac:dyDescent="0.25">
      <c r="A37">
        <v>32</v>
      </c>
      <c r="B37">
        <v>208</v>
      </c>
      <c r="C37" s="18">
        <f t="shared" si="0"/>
        <v>207.77283106733398</v>
      </c>
      <c r="D37" s="18">
        <f t="shared" si="1"/>
        <v>207.15207124296722</v>
      </c>
      <c r="E37" s="18">
        <f t="shared" si="2"/>
        <v>0.84792875703277559</v>
      </c>
      <c r="F37" s="18">
        <f t="shared" si="3"/>
        <v>0.71898317700314773</v>
      </c>
    </row>
    <row r="38" spans="1:6" x14ac:dyDescent="0.25">
      <c r="A38">
        <v>33</v>
      </c>
      <c r="B38">
        <v>216</v>
      </c>
      <c r="C38" s="18">
        <f t="shared" si="0"/>
        <v>213.79585587846194</v>
      </c>
      <c r="D38" s="18">
        <f t="shared" si="1"/>
        <v>207.77283106733398</v>
      </c>
      <c r="E38" s="18">
        <f t="shared" si="2"/>
        <v>8.227168932666018</v>
      </c>
      <c r="F38" s="18">
        <f t="shared" si="3"/>
        <v>67.686308646624909</v>
      </c>
    </row>
    <row r="39" spans="1:6" x14ac:dyDescent="0.25">
      <c r="A39">
        <v>34</v>
      </c>
      <c r="B39">
        <v>218</v>
      </c>
      <c r="C39" s="18">
        <f t="shared" si="0"/>
        <v>216.87366606575998</v>
      </c>
      <c r="D39" s="18">
        <f t="shared" si="1"/>
        <v>213.79585587846194</v>
      </c>
      <c r="E39" s="18">
        <f t="shared" si="2"/>
        <v>4.2041441215380644</v>
      </c>
      <c r="F39" s="18">
        <f t="shared" si="3"/>
        <v>17.674827794663063</v>
      </c>
    </row>
    <row r="40" spans="1:6" x14ac:dyDescent="0.25">
      <c r="A40">
        <v>35</v>
      </c>
      <c r="B40">
        <v>264</v>
      </c>
      <c r="C40" s="18">
        <f t="shared" si="0"/>
        <v>251.37436501414655</v>
      </c>
      <c r="D40" s="18">
        <f t="shared" si="1"/>
        <v>216.87366606575998</v>
      </c>
      <c r="E40" s="18">
        <f t="shared" si="2"/>
        <v>47.126333934240023</v>
      </c>
      <c r="F40" s="18">
        <f t="shared" si="3"/>
        <v>2220.8913500815029</v>
      </c>
    </row>
    <row r="41" spans="1:6" x14ac:dyDescent="0.25">
      <c r="A41">
        <v>36</v>
      </c>
      <c r="B41">
        <v>304</v>
      </c>
      <c r="C41" s="18">
        <f t="shared" si="0"/>
        <v>289.90104506840504</v>
      </c>
      <c r="D41" s="18">
        <f t="shared" si="1"/>
        <v>251.37436501414655</v>
      </c>
      <c r="E41" s="18">
        <f t="shared" si="2"/>
        <v>52.625634985853452</v>
      </c>
      <c r="F41" s="18">
        <f t="shared" si="3"/>
        <v>2769.4574576642831</v>
      </c>
    </row>
    <row r="42" spans="1:6" x14ac:dyDescent="0.25">
      <c r="A42" s="4">
        <v>37</v>
      </c>
      <c r="B42" s="5">
        <f t="shared" ref="B42:B53" si="4">C$41</f>
        <v>289.90104506840504</v>
      </c>
      <c r="C42" s="4"/>
      <c r="D42" s="4"/>
      <c r="E42" s="4"/>
      <c r="F42" s="4"/>
    </row>
    <row r="43" spans="1:6" x14ac:dyDescent="0.25">
      <c r="A43" s="4">
        <v>38</v>
      </c>
      <c r="B43" s="5">
        <f t="shared" si="4"/>
        <v>289.90104506840504</v>
      </c>
      <c r="C43" s="4"/>
      <c r="D43" s="4"/>
      <c r="E43" s="4"/>
      <c r="F43" s="4"/>
    </row>
    <row r="44" spans="1:6" x14ac:dyDescent="0.25">
      <c r="A44" s="4">
        <v>39</v>
      </c>
      <c r="B44" s="5">
        <f t="shared" si="4"/>
        <v>289.90104506840504</v>
      </c>
      <c r="C44" s="4"/>
      <c r="D44" s="4"/>
      <c r="E44" s="4"/>
      <c r="F44" s="4"/>
    </row>
    <row r="45" spans="1:6" x14ac:dyDescent="0.25">
      <c r="A45" s="4">
        <v>40</v>
      </c>
      <c r="B45" s="5">
        <f t="shared" si="4"/>
        <v>289.90104506840504</v>
      </c>
      <c r="C45" s="4"/>
      <c r="D45" s="4"/>
      <c r="E45" s="4"/>
      <c r="F45" s="4"/>
    </row>
    <row r="46" spans="1:6" x14ac:dyDescent="0.25">
      <c r="A46" s="4">
        <v>41</v>
      </c>
      <c r="B46" s="5">
        <f t="shared" si="4"/>
        <v>289.90104506840504</v>
      </c>
      <c r="C46" s="4"/>
      <c r="D46" s="4"/>
      <c r="E46" s="4"/>
      <c r="F46" s="4"/>
    </row>
    <row r="47" spans="1:6" x14ac:dyDescent="0.25">
      <c r="A47" s="4">
        <v>42</v>
      </c>
      <c r="B47" s="5">
        <f t="shared" si="4"/>
        <v>289.90104506840504</v>
      </c>
      <c r="C47" s="4"/>
      <c r="D47" s="4"/>
      <c r="E47" s="4"/>
      <c r="F47" s="4"/>
    </row>
    <row r="48" spans="1:6" x14ac:dyDescent="0.25">
      <c r="A48" s="4">
        <v>43</v>
      </c>
      <c r="B48" s="5">
        <f t="shared" si="4"/>
        <v>289.90104506840504</v>
      </c>
      <c r="C48" s="4"/>
      <c r="D48" s="4"/>
      <c r="E48" s="4"/>
      <c r="F48" s="4"/>
    </row>
    <row r="49" spans="1:6" x14ac:dyDescent="0.25">
      <c r="A49" s="4">
        <v>44</v>
      </c>
      <c r="B49" s="5">
        <f t="shared" si="4"/>
        <v>289.90104506840504</v>
      </c>
      <c r="C49" s="4"/>
      <c r="D49" s="4"/>
      <c r="E49" s="4"/>
      <c r="F49" s="4"/>
    </row>
    <row r="50" spans="1:6" x14ac:dyDescent="0.25">
      <c r="A50" s="4">
        <v>45</v>
      </c>
      <c r="B50" s="5">
        <f t="shared" si="4"/>
        <v>289.90104506840504</v>
      </c>
      <c r="C50" s="4"/>
      <c r="D50" s="4"/>
      <c r="E50" s="4"/>
      <c r="F50" s="4"/>
    </row>
    <row r="51" spans="1:6" x14ac:dyDescent="0.25">
      <c r="A51" s="4">
        <v>46</v>
      </c>
      <c r="B51" s="5">
        <f t="shared" si="4"/>
        <v>289.90104506840504</v>
      </c>
      <c r="C51" s="4"/>
      <c r="D51" s="4"/>
      <c r="E51" s="4"/>
      <c r="F51" s="4"/>
    </row>
    <row r="52" spans="1:6" x14ac:dyDescent="0.25">
      <c r="A52" s="4">
        <v>47</v>
      </c>
      <c r="B52" s="5">
        <f t="shared" si="4"/>
        <v>289.90104506840504</v>
      </c>
      <c r="C52" s="4"/>
      <c r="D52" s="4"/>
      <c r="E52" s="4"/>
      <c r="F52" s="4"/>
    </row>
    <row r="53" spans="1:6" x14ac:dyDescent="0.25">
      <c r="A53" s="4">
        <v>48</v>
      </c>
      <c r="B53" s="5">
        <f t="shared" si="4"/>
        <v>289.90104506840504</v>
      </c>
      <c r="C53" s="4"/>
      <c r="D53" s="4"/>
      <c r="E53" s="4"/>
      <c r="F53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53"/>
  <sheetViews>
    <sheetView tabSelected="1" workbookViewId="0">
      <pane ySplit="4" topLeftCell="A5" activePane="bottomLeft" state="frozen"/>
      <selection activeCell="O15" sqref="O15"/>
      <selection pane="bottomLeft" activeCell="G6" sqref="G6"/>
    </sheetView>
  </sheetViews>
  <sheetFormatPr defaultColWidth="11" defaultRowHeight="15.75" x14ac:dyDescent="0.25"/>
  <cols>
    <col min="1" max="1" width="12" bestFit="1" customWidth="1"/>
    <col min="3" max="3" width="10.875" style="18"/>
    <col min="4" max="4" width="11.875" style="18" customWidth="1"/>
    <col min="5" max="7" width="10.875" style="18" customWidth="1"/>
  </cols>
  <sheetData>
    <row r="1" spans="1:8" s="1" customFormat="1" ht="63" x14ac:dyDescent="0.25">
      <c r="A1" s="1" t="s">
        <v>14</v>
      </c>
      <c r="C1" s="19" t="s">
        <v>15</v>
      </c>
      <c r="D1" s="19" t="s">
        <v>16</v>
      </c>
      <c r="E1" s="19"/>
      <c r="F1" s="19" t="s">
        <v>8</v>
      </c>
      <c r="G1" s="19" t="s">
        <v>9</v>
      </c>
    </row>
    <row r="2" spans="1:8" x14ac:dyDescent="0.25">
      <c r="A2">
        <v>36</v>
      </c>
      <c r="C2" s="18">
        <v>0.10000000149011599</v>
      </c>
      <c r="D2" s="18">
        <v>0.48999983072280801</v>
      </c>
      <c r="F2" s="18">
        <f>SUM(G6:G41)</f>
        <v>15938.814024887986</v>
      </c>
      <c r="G2" s="18">
        <f>SQRT(F2/(36-2))</f>
        <v>21.651527608712119</v>
      </c>
    </row>
    <row r="4" spans="1:8" ht="27" customHeight="1" x14ac:dyDescent="0.25">
      <c r="A4" s="1" t="s">
        <v>1</v>
      </c>
      <c r="B4" s="1" t="s">
        <v>3</v>
      </c>
      <c r="C4" s="18" t="s">
        <v>12</v>
      </c>
      <c r="D4" s="18" t="s">
        <v>28</v>
      </c>
      <c r="E4" s="19" t="s">
        <v>5</v>
      </c>
      <c r="F4" s="19" t="s">
        <v>6</v>
      </c>
      <c r="G4" s="19" t="s">
        <v>7</v>
      </c>
      <c r="H4" s="1"/>
    </row>
    <row r="5" spans="1:8" x14ac:dyDescent="0.25">
      <c r="A5" s="6">
        <v>0</v>
      </c>
      <c r="B5" s="6"/>
      <c r="C5" s="21">
        <v>155.88</v>
      </c>
      <c r="D5" s="21">
        <v>0.83689999999999998</v>
      </c>
      <c r="E5" s="21"/>
      <c r="F5" s="21"/>
      <c r="G5" s="21"/>
    </row>
    <row r="6" spans="1:8" x14ac:dyDescent="0.25">
      <c r="A6">
        <v>1</v>
      </c>
      <c r="B6">
        <v>165</v>
      </c>
      <c r="C6" s="18">
        <f>C5+D5+C$2*F6</f>
        <v>157.54521001234278</v>
      </c>
      <c r="D6" s="18">
        <f>D5+D$2*C$2*F6</f>
        <v>1.2427717658339685</v>
      </c>
      <c r="E6" s="18">
        <f>C5+D5</f>
        <v>156.71690000000001</v>
      </c>
      <c r="F6" s="18">
        <f>B6-E6</f>
        <v>8.2830999999999904</v>
      </c>
      <c r="G6" s="18">
        <f>F6^2</f>
        <v>68.609745609999834</v>
      </c>
    </row>
    <row r="7" spans="1:8" x14ac:dyDescent="0.25">
      <c r="A7">
        <v>2</v>
      </c>
      <c r="B7">
        <v>171</v>
      </c>
      <c r="C7" s="18">
        <f t="shared" ref="C7:C41" si="0">C6+D6+C$2*F7</f>
        <v>160.00918361855639</v>
      </c>
      <c r="D7" s="18">
        <f t="shared" ref="D7:D41" si="1">D6+D$2*C$2*F7</f>
        <v>1.8411604608983785</v>
      </c>
      <c r="E7" s="18">
        <f t="shared" ref="E7:E41" si="2">C6+D6</f>
        <v>158.78798177817674</v>
      </c>
      <c r="F7" s="18">
        <f t="shared" ref="F7:F41" si="3">B7-E7</f>
        <v>12.212018221823257</v>
      </c>
      <c r="G7" s="18">
        <f t="shared" ref="G7:G41" si="4">F7^2</f>
        <v>149.13338905014328</v>
      </c>
    </row>
    <row r="8" spans="1:8" x14ac:dyDescent="0.25">
      <c r="A8">
        <v>3</v>
      </c>
      <c r="B8">
        <v>147</v>
      </c>
      <c r="C8" s="18">
        <f t="shared" si="0"/>
        <v>160.36530964938055</v>
      </c>
      <c r="D8" s="18">
        <f t="shared" si="1"/>
        <v>1.1134938415444728</v>
      </c>
      <c r="E8" s="18">
        <f t="shared" si="2"/>
        <v>161.85034407945477</v>
      </c>
      <c r="F8" s="18">
        <f t="shared" si="3"/>
        <v>-14.850344079454771</v>
      </c>
      <c r="G8" s="18">
        <f t="shared" si="4"/>
        <v>220.53271927819739</v>
      </c>
    </row>
    <row r="9" spans="1:8" x14ac:dyDescent="0.25">
      <c r="A9">
        <v>4</v>
      </c>
      <c r="B9">
        <v>143</v>
      </c>
      <c r="C9" s="18">
        <f t="shared" si="0"/>
        <v>159.63092311429696</v>
      </c>
      <c r="D9" s="18">
        <f t="shared" si="1"/>
        <v>0.20803276980072294</v>
      </c>
      <c r="E9" s="18">
        <f t="shared" si="2"/>
        <v>161.47880349092503</v>
      </c>
      <c r="F9" s="18">
        <f t="shared" si="3"/>
        <v>-18.478803490925031</v>
      </c>
      <c r="G9" s="18">
        <f t="shared" si="4"/>
        <v>341.46617845622313</v>
      </c>
    </row>
    <row r="10" spans="1:8" x14ac:dyDescent="0.25">
      <c r="A10">
        <v>5</v>
      </c>
      <c r="B10">
        <v>164</v>
      </c>
      <c r="C10" s="18">
        <f t="shared" si="0"/>
        <v>160.25506030188836</v>
      </c>
      <c r="D10" s="18">
        <f t="shared" si="1"/>
        <v>0.41192386408116372</v>
      </c>
      <c r="E10" s="18">
        <f t="shared" si="2"/>
        <v>159.83895588409769</v>
      </c>
      <c r="F10" s="18">
        <f t="shared" si="3"/>
        <v>4.1610441159023139</v>
      </c>
      <c r="G10" s="18">
        <f t="shared" si="4"/>
        <v>17.31428813448527</v>
      </c>
    </row>
    <row r="11" spans="1:8" x14ac:dyDescent="0.25">
      <c r="A11">
        <v>6</v>
      </c>
      <c r="B11">
        <v>160</v>
      </c>
      <c r="C11" s="18">
        <f t="shared" si="0"/>
        <v>160.6002857483787</v>
      </c>
      <c r="D11" s="18">
        <f t="shared" si="1"/>
        <v>0.37924165075217486</v>
      </c>
      <c r="E11" s="18">
        <f t="shared" si="2"/>
        <v>160.66698416596952</v>
      </c>
      <c r="F11" s="18">
        <f t="shared" si="3"/>
        <v>-0.6669841659695237</v>
      </c>
      <c r="G11" s="18">
        <f t="shared" si="4"/>
        <v>0.44486787765406116</v>
      </c>
    </row>
    <row r="12" spans="1:8" x14ac:dyDescent="0.25">
      <c r="A12">
        <v>7</v>
      </c>
      <c r="B12">
        <v>152</v>
      </c>
      <c r="C12" s="18">
        <f t="shared" si="0"/>
        <v>160.08157464583724</v>
      </c>
      <c r="D12" s="18">
        <f t="shared" si="1"/>
        <v>-6.0755046358779929E-2</v>
      </c>
      <c r="E12" s="18">
        <f t="shared" si="2"/>
        <v>160.97952739913086</v>
      </c>
      <c r="F12" s="18">
        <f t="shared" si="3"/>
        <v>-8.9795273991308591</v>
      </c>
      <c r="G12" s="18">
        <f t="shared" si="4"/>
        <v>80.631912311741814</v>
      </c>
    </row>
    <row r="13" spans="1:8" x14ac:dyDescent="0.25">
      <c r="A13">
        <v>8</v>
      </c>
      <c r="B13">
        <v>150</v>
      </c>
      <c r="C13" s="18">
        <f t="shared" si="0"/>
        <v>159.01873762459843</v>
      </c>
      <c r="D13" s="18">
        <f t="shared" si="1"/>
        <v>-0.55177504442037073</v>
      </c>
      <c r="E13" s="18">
        <f t="shared" si="2"/>
        <v>160.02081959947844</v>
      </c>
      <c r="F13" s="18">
        <f t="shared" si="3"/>
        <v>-10.020819599478443</v>
      </c>
      <c r="G13" s="18">
        <f t="shared" si="4"/>
        <v>100.41682544529131</v>
      </c>
    </row>
    <row r="14" spans="1:8" x14ac:dyDescent="0.25">
      <c r="A14">
        <v>9</v>
      </c>
      <c r="B14">
        <v>159</v>
      </c>
      <c r="C14" s="18">
        <f t="shared" si="0"/>
        <v>158.52026632295454</v>
      </c>
      <c r="D14" s="18">
        <f t="shared" si="1"/>
        <v>-0.52565621948300278</v>
      </c>
      <c r="E14" s="18">
        <f t="shared" si="2"/>
        <v>158.46696258017806</v>
      </c>
      <c r="F14" s="18">
        <f t="shared" si="3"/>
        <v>0.53303741982193742</v>
      </c>
      <c r="G14" s="18">
        <f t="shared" si="4"/>
        <v>0.28412889093042837</v>
      </c>
    </row>
    <row r="15" spans="1:8" x14ac:dyDescent="0.25">
      <c r="A15">
        <v>10</v>
      </c>
      <c r="B15">
        <v>169</v>
      </c>
      <c r="C15" s="18">
        <f t="shared" si="0"/>
        <v>159.09514910952367</v>
      </c>
      <c r="D15" s="18">
        <f t="shared" si="1"/>
        <v>1.3607707186400253E-2</v>
      </c>
      <c r="E15" s="18">
        <f t="shared" si="2"/>
        <v>157.99461010347153</v>
      </c>
      <c r="F15" s="18">
        <f t="shared" si="3"/>
        <v>11.00538989652847</v>
      </c>
      <c r="G15" s="18">
        <f t="shared" si="4"/>
        <v>121.11860677461094</v>
      </c>
    </row>
    <row r="16" spans="1:8" x14ac:dyDescent="0.25">
      <c r="A16">
        <v>11</v>
      </c>
      <c r="B16">
        <v>173</v>
      </c>
      <c r="C16" s="18">
        <f t="shared" si="0"/>
        <v>160.49788115573864</v>
      </c>
      <c r="D16" s="18">
        <f t="shared" si="1"/>
        <v>0.69427839816332559</v>
      </c>
      <c r="E16" s="18">
        <f t="shared" si="2"/>
        <v>159.10875681671007</v>
      </c>
      <c r="F16" s="18">
        <f t="shared" si="3"/>
        <v>13.89124318328993</v>
      </c>
      <c r="G16" s="18">
        <f t="shared" si="4"/>
        <v>192.96663717729896</v>
      </c>
    </row>
    <row r="17" spans="1:7" x14ac:dyDescent="0.25">
      <c r="A17">
        <v>12</v>
      </c>
      <c r="B17">
        <v>203</v>
      </c>
      <c r="C17" s="18">
        <f t="shared" si="0"/>
        <v>165.37294366081031</v>
      </c>
      <c r="D17" s="18">
        <f t="shared" si="1"/>
        <v>2.7428619028370154</v>
      </c>
      <c r="E17" s="18">
        <f t="shared" si="2"/>
        <v>161.19215955390197</v>
      </c>
      <c r="F17" s="18">
        <f t="shared" si="3"/>
        <v>41.807840446098027</v>
      </c>
      <c r="G17" s="18">
        <f t="shared" si="4"/>
        <v>1747.8955227663901</v>
      </c>
    </row>
    <row r="18" spans="1:7" x14ac:dyDescent="0.25">
      <c r="A18">
        <v>13</v>
      </c>
      <c r="B18">
        <v>169</v>
      </c>
      <c r="C18" s="18">
        <f t="shared" si="0"/>
        <v>168.20422500860013</v>
      </c>
      <c r="D18" s="18">
        <f t="shared" si="1"/>
        <v>2.7861874158965021</v>
      </c>
      <c r="E18" s="18">
        <f t="shared" si="2"/>
        <v>168.11580556364731</v>
      </c>
      <c r="F18" s="18">
        <f t="shared" si="3"/>
        <v>0.88419443635268635</v>
      </c>
      <c r="G18" s="18">
        <f t="shared" si="4"/>
        <v>0.78179980127704474</v>
      </c>
    </row>
    <row r="19" spans="1:7" x14ac:dyDescent="0.25">
      <c r="A19">
        <v>14</v>
      </c>
      <c r="B19">
        <v>166</v>
      </c>
      <c r="C19" s="18">
        <f t="shared" si="0"/>
        <v>170.49137117461069</v>
      </c>
      <c r="D19" s="18">
        <f t="shared" si="1"/>
        <v>2.5416572879286843</v>
      </c>
      <c r="E19" s="18">
        <f t="shared" si="2"/>
        <v>170.99041242449664</v>
      </c>
      <c r="F19" s="18">
        <f t="shared" si="3"/>
        <v>-4.9904124244966397</v>
      </c>
      <c r="G19" s="18">
        <f t="shared" si="4"/>
        <v>24.904216166570428</v>
      </c>
    </row>
    <row r="20" spans="1:7" x14ac:dyDescent="0.25">
      <c r="A20">
        <v>15</v>
      </c>
      <c r="B20">
        <v>162</v>
      </c>
      <c r="C20" s="18">
        <f t="shared" si="0"/>
        <v>171.92972559984494</v>
      </c>
      <c r="D20" s="18">
        <f t="shared" si="1"/>
        <v>2.0010390719724249</v>
      </c>
      <c r="E20" s="18">
        <f t="shared" si="2"/>
        <v>173.03302846253936</v>
      </c>
      <c r="F20" s="18">
        <f t="shared" si="3"/>
        <v>-11.033028462539363</v>
      </c>
      <c r="G20" s="18">
        <f t="shared" si="4"/>
        <v>121.7277170552037</v>
      </c>
    </row>
    <row r="21" spans="1:7" x14ac:dyDescent="0.25">
      <c r="A21">
        <v>16</v>
      </c>
      <c r="B21">
        <v>147</v>
      </c>
      <c r="C21" s="18">
        <f t="shared" si="0"/>
        <v>171.23768816450567</v>
      </c>
      <c r="D21" s="18">
        <f t="shared" si="1"/>
        <v>0.68143203926612084</v>
      </c>
      <c r="E21" s="18">
        <f t="shared" si="2"/>
        <v>173.93076467181737</v>
      </c>
      <c r="F21" s="18">
        <f t="shared" si="3"/>
        <v>-26.930764671817371</v>
      </c>
      <c r="G21" s="18">
        <f t="shared" si="4"/>
        <v>725.26608580880657</v>
      </c>
    </row>
    <row r="22" spans="1:7" x14ac:dyDescent="0.25">
      <c r="A22">
        <v>17</v>
      </c>
      <c r="B22">
        <v>188</v>
      </c>
      <c r="C22" s="18">
        <f t="shared" si="0"/>
        <v>173.52720820735701</v>
      </c>
      <c r="D22" s="18">
        <f t="shared" si="1"/>
        <v>1.4693948888102453</v>
      </c>
      <c r="E22" s="18">
        <f t="shared" si="2"/>
        <v>171.9191202037718</v>
      </c>
      <c r="F22" s="18">
        <f t="shared" si="3"/>
        <v>16.080879796228203</v>
      </c>
      <c r="G22" s="18">
        <f t="shared" si="4"/>
        <v>258.5946950207404</v>
      </c>
    </row>
    <row r="23" spans="1:7" x14ac:dyDescent="0.25">
      <c r="A23">
        <v>18</v>
      </c>
      <c r="B23">
        <v>161</v>
      </c>
      <c r="C23" s="18">
        <f t="shared" si="0"/>
        <v>173.59694276569397</v>
      </c>
      <c r="D23" s="18">
        <f t="shared" si="1"/>
        <v>0.7835615638089044</v>
      </c>
      <c r="E23" s="18">
        <f t="shared" si="2"/>
        <v>174.99660309616726</v>
      </c>
      <c r="F23" s="18">
        <f t="shared" si="3"/>
        <v>-13.996603096167263</v>
      </c>
      <c r="G23" s="18">
        <f t="shared" si="4"/>
        <v>195.90489823163901</v>
      </c>
    </row>
    <row r="24" spans="1:7" x14ac:dyDescent="0.25">
      <c r="A24">
        <v>19</v>
      </c>
      <c r="B24">
        <v>162</v>
      </c>
      <c r="C24" s="18">
        <f t="shared" si="0"/>
        <v>173.14245387810422</v>
      </c>
      <c r="D24" s="18">
        <f t="shared" si="1"/>
        <v>0.17691705219725717</v>
      </c>
      <c r="E24" s="18">
        <f t="shared" si="2"/>
        <v>174.38050432950288</v>
      </c>
      <c r="F24" s="18">
        <f t="shared" si="3"/>
        <v>-12.380504329502884</v>
      </c>
      <c r="G24" s="18">
        <f t="shared" si="4"/>
        <v>153.27688745283965</v>
      </c>
    </row>
    <row r="25" spans="1:7" x14ac:dyDescent="0.25">
      <c r="A25">
        <v>20</v>
      </c>
      <c r="B25">
        <v>169</v>
      </c>
      <c r="C25" s="18">
        <f t="shared" si="0"/>
        <v>172.88743383083496</v>
      </c>
      <c r="D25" s="18">
        <f t="shared" si="1"/>
        <v>-3.473205342423466E-2</v>
      </c>
      <c r="E25" s="18">
        <f t="shared" si="2"/>
        <v>173.31937093030149</v>
      </c>
      <c r="F25" s="18">
        <f t="shared" si="3"/>
        <v>-4.3193709303014884</v>
      </c>
      <c r="G25" s="18">
        <f t="shared" si="4"/>
        <v>18.656965233533544</v>
      </c>
    </row>
    <row r="26" spans="1:7" x14ac:dyDescent="0.25">
      <c r="A26">
        <v>21</v>
      </c>
      <c r="B26">
        <v>185</v>
      </c>
      <c r="C26" s="18">
        <f t="shared" si="0"/>
        <v>174.06743161777055</v>
      </c>
      <c r="D26" s="18">
        <f t="shared" si="1"/>
        <v>0.56048536272601535</v>
      </c>
      <c r="E26" s="18">
        <f t="shared" si="2"/>
        <v>172.85270177741074</v>
      </c>
      <c r="F26" s="18">
        <f t="shared" si="3"/>
        <v>12.147298222589257</v>
      </c>
      <c r="G26" s="18">
        <f t="shared" si="4"/>
        <v>147.5568541085201</v>
      </c>
    </row>
    <row r="27" spans="1:7" x14ac:dyDescent="0.25">
      <c r="A27">
        <v>22</v>
      </c>
      <c r="B27">
        <v>188</v>
      </c>
      <c r="C27" s="18">
        <f t="shared" si="0"/>
        <v>175.96512530237285</v>
      </c>
      <c r="D27" s="18">
        <f t="shared" si="1"/>
        <v>1.2157172140865318</v>
      </c>
      <c r="E27" s="18">
        <f t="shared" si="2"/>
        <v>174.62791698049656</v>
      </c>
      <c r="F27" s="18">
        <f t="shared" si="3"/>
        <v>13.372083019503435</v>
      </c>
      <c r="G27" s="18">
        <f t="shared" si="4"/>
        <v>178.81260428049211</v>
      </c>
    </row>
    <row r="28" spans="1:7" x14ac:dyDescent="0.25">
      <c r="A28">
        <v>23</v>
      </c>
      <c r="B28">
        <v>200</v>
      </c>
      <c r="C28" s="18">
        <f t="shared" si="0"/>
        <v>179.46275829881665</v>
      </c>
      <c r="D28" s="18">
        <f t="shared" si="1"/>
        <v>2.3338555611652891</v>
      </c>
      <c r="E28" s="18">
        <f t="shared" si="2"/>
        <v>177.18084251645939</v>
      </c>
      <c r="F28" s="18">
        <f t="shared" si="3"/>
        <v>22.819157483540607</v>
      </c>
      <c r="G28" s="18">
        <f t="shared" si="4"/>
        <v>520.71394825862728</v>
      </c>
    </row>
    <row r="29" spans="1:7" x14ac:dyDescent="0.25">
      <c r="A29">
        <v>24</v>
      </c>
      <c r="B29">
        <v>229</v>
      </c>
      <c r="C29" s="18">
        <f t="shared" si="0"/>
        <v>186.51695254432227</v>
      </c>
      <c r="D29" s="18">
        <f t="shared" si="1"/>
        <v>4.6468207174463716</v>
      </c>
      <c r="E29" s="18">
        <f t="shared" si="2"/>
        <v>181.79661385998193</v>
      </c>
      <c r="F29" s="18">
        <f t="shared" si="3"/>
        <v>47.203386140018068</v>
      </c>
      <c r="G29" s="18">
        <f t="shared" si="4"/>
        <v>2228.1596630836498</v>
      </c>
    </row>
    <row r="30" spans="1:7" x14ac:dyDescent="0.25">
      <c r="A30">
        <v>25</v>
      </c>
      <c r="B30">
        <v>189</v>
      </c>
      <c r="C30" s="18">
        <f t="shared" si="0"/>
        <v>190.9473959323675</v>
      </c>
      <c r="D30" s="18">
        <f t="shared" si="1"/>
        <v>4.5407958626675615</v>
      </c>
      <c r="E30" s="18">
        <f t="shared" si="2"/>
        <v>191.16377326176863</v>
      </c>
      <c r="F30" s="18">
        <f t="shared" si="3"/>
        <v>-2.1637732617686254</v>
      </c>
      <c r="G30" s="18">
        <f t="shared" si="4"/>
        <v>4.6819147283448359</v>
      </c>
    </row>
    <row r="31" spans="1:7" x14ac:dyDescent="0.25">
      <c r="A31">
        <v>26</v>
      </c>
      <c r="B31">
        <v>218</v>
      </c>
      <c r="C31" s="18">
        <f t="shared" si="0"/>
        <v>197.73937264907676</v>
      </c>
      <c r="D31" s="18">
        <f t="shared" si="1"/>
        <v>5.643874100074421</v>
      </c>
      <c r="E31" s="18">
        <f t="shared" si="2"/>
        <v>195.48819179503505</v>
      </c>
      <c r="F31" s="18">
        <f t="shared" si="3"/>
        <v>22.51180820496495</v>
      </c>
      <c r="G31" s="18">
        <f t="shared" si="4"/>
        <v>506.78150865712723</v>
      </c>
    </row>
    <row r="32" spans="1:7" x14ac:dyDescent="0.25">
      <c r="A32">
        <v>27</v>
      </c>
      <c r="B32">
        <v>185</v>
      </c>
      <c r="C32" s="18">
        <f t="shared" si="0"/>
        <v>201.54492204684288</v>
      </c>
      <c r="D32" s="18">
        <f t="shared" si="1"/>
        <v>4.7430953071298037</v>
      </c>
      <c r="E32" s="18">
        <f t="shared" si="2"/>
        <v>203.38324674915117</v>
      </c>
      <c r="F32" s="18">
        <f t="shared" si="3"/>
        <v>-18.383246749151169</v>
      </c>
      <c r="G32" s="18">
        <f t="shared" si="4"/>
        <v>337.94376104017704</v>
      </c>
    </row>
    <row r="33" spans="1:7" x14ac:dyDescent="0.25">
      <c r="A33">
        <v>28</v>
      </c>
      <c r="B33">
        <v>199</v>
      </c>
      <c r="C33" s="18">
        <f t="shared" si="0"/>
        <v>205.55921560771543</v>
      </c>
      <c r="D33" s="18">
        <f t="shared" si="1"/>
        <v>4.3859825748332595</v>
      </c>
      <c r="E33" s="18">
        <f t="shared" si="2"/>
        <v>206.28801735397269</v>
      </c>
      <c r="F33" s="18">
        <f t="shared" si="3"/>
        <v>-7.2880173539726911</v>
      </c>
      <c r="G33" s="18">
        <f t="shared" si="4"/>
        <v>53.115196951807107</v>
      </c>
    </row>
    <row r="34" spans="1:7" x14ac:dyDescent="0.25">
      <c r="A34">
        <v>29</v>
      </c>
      <c r="B34">
        <v>210</v>
      </c>
      <c r="C34" s="18">
        <f t="shared" si="0"/>
        <v>209.95067836437548</v>
      </c>
      <c r="D34" s="18">
        <f t="shared" si="1"/>
        <v>4.3886678630007179</v>
      </c>
      <c r="E34" s="18">
        <f t="shared" si="2"/>
        <v>209.94519818254869</v>
      </c>
      <c r="F34" s="18">
        <f t="shared" si="3"/>
        <v>5.4801817451306079E-2</v>
      </c>
      <c r="G34" s="18">
        <f t="shared" si="4"/>
        <v>3.0032391959662753E-3</v>
      </c>
    </row>
    <row r="35" spans="1:7" x14ac:dyDescent="0.25">
      <c r="A35">
        <v>30</v>
      </c>
      <c r="B35">
        <v>193</v>
      </c>
      <c r="C35" s="18">
        <f t="shared" si="0"/>
        <v>212.20541157284046</v>
      </c>
      <c r="D35" s="18">
        <f t="shared" si="1"/>
        <v>3.3430402435046815</v>
      </c>
      <c r="E35" s="18">
        <f t="shared" si="2"/>
        <v>214.33934622737618</v>
      </c>
      <c r="F35" s="18">
        <f t="shared" si="3"/>
        <v>-21.339346227376183</v>
      </c>
      <c r="G35" s="18">
        <f t="shared" si="4"/>
        <v>455.36769741183411</v>
      </c>
    </row>
    <row r="36" spans="1:7" x14ac:dyDescent="0.25">
      <c r="A36">
        <v>31</v>
      </c>
      <c r="B36">
        <v>211</v>
      </c>
      <c r="C36" s="18">
        <f t="shared" si="0"/>
        <v>215.0936066279329</v>
      </c>
      <c r="D36" s="18">
        <f t="shared" si="1"/>
        <v>3.1201661781776031</v>
      </c>
      <c r="E36" s="18">
        <f t="shared" si="2"/>
        <v>215.54845181634514</v>
      </c>
      <c r="F36" s="18">
        <f t="shared" si="3"/>
        <v>-4.5484518163451355</v>
      </c>
      <c r="G36" s="18">
        <f t="shared" si="4"/>
        <v>20.688413925613361</v>
      </c>
    </row>
    <row r="37" spans="1:7" x14ac:dyDescent="0.25">
      <c r="A37">
        <v>32</v>
      </c>
      <c r="B37">
        <v>208</v>
      </c>
      <c r="C37" s="18">
        <f t="shared" si="0"/>
        <v>217.19239551027977</v>
      </c>
      <c r="D37" s="18">
        <f t="shared" si="1"/>
        <v>2.6196914761164125</v>
      </c>
      <c r="E37" s="18">
        <f t="shared" si="2"/>
        <v>218.21377280611051</v>
      </c>
      <c r="F37" s="18">
        <f t="shared" si="3"/>
        <v>-10.213772806110512</v>
      </c>
      <c r="G37" s="18">
        <f t="shared" si="4"/>
        <v>104.32115493484261</v>
      </c>
    </row>
    <row r="38" spans="1:7" x14ac:dyDescent="0.25">
      <c r="A38">
        <v>33</v>
      </c>
      <c r="B38">
        <v>216</v>
      </c>
      <c r="C38" s="18">
        <f t="shared" si="0"/>
        <v>219.43087828207609</v>
      </c>
      <c r="D38" s="18">
        <f t="shared" si="1"/>
        <v>2.4328992755295178</v>
      </c>
      <c r="E38" s="18">
        <f t="shared" si="2"/>
        <v>219.81208698639617</v>
      </c>
      <c r="F38" s="18">
        <f t="shared" si="3"/>
        <v>-3.8120869863961673</v>
      </c>
      <c r="G38" s="18">
        <f t="shared" si="4"/>
        <v>14.532007191851012</v>
      </c>
    </row>
    <row r="39" spans="1:7" x14ac:dyDescent="0.25">
      <c r="A39">
        <v>34</v>
      </c>
      <c r="B39">
        <v>218</v>
      </c>
      <c r="C39" s="18">
        <f t="shared" si="0"/>
        <v>221.47739979608755</v>
      </c>
      <c r="D39" s="18">
        <f t="shared" si="1"/>
        <v>2.243574237790622</v>
      </c>
      <c r="E39" s="18">
        <f t="shared" si="2"/>
        <v>221.8637775576056</v>
      </c>
      <c r="F39" s="18">
        <f t="shared" si="3"/>
        <v>-3.8637775576056015</v>
      </c>
      <c r="G39" s="18">
        <f t="shared" si="4"/>
        <v>14.928777014656706</v>
      </c>
    </row>
    <row r="40" spans="1:7" x14ac:dyDescent="0.25">
      <c r="A40">
        <v>35</v>
      </c>
      <c r="B40">
        <v>264</v>
      </c>
      <c r="C40" s="18">
        <f t="shared" si="0"/>
        <v>227.74887669051077</v>
      </c>
      <c r="D40" s="18">
        <f t="shared" si="1"/>
        <v>4.2172458577085461</v>
      </c>
      <c r="E40" s="18">
        <f t="shared" si="2"/>
        <v>223.72097403387818</v>
      </c>
      <c r="F40" s="18">
        <f t="shared" si="3"/>
        <v>40.279025966121822</v>
      </c>
      <c r="G40" s="18">
        <f t="shared" si="4"/>
        <v>1622.3999327795159</v>
      </c>
    </row>
    <row r="41" spans="1:7" x14ac:dyDescent="0.25">
      <c r="A41">
        <v>36</v>
      </c>
      <c r="B41">
        <v>304</v>
      </c>
      <c r="C41" s="18">
        <f t="shared" si="0"/>
        <v>239.16951040073621</v>
      </c>
      <c r="D41" s="18">
        <f t="shared" si="1"/>
        <v>7.7469046860725594</v>
      </c>
      <c r="E41" s="18">
        <f t="shared" si="2"/>
        <v>231.96612254821932</v>
      </c>
      <c r="F41" s="18">
        <f t="shared" si="3"/>
        <v>72.033877451780683</v>
      </c>
      <c r="G41" s="18">
        <f t="shared" si="4"/>
        <v>5188.8795007381577</v>
      </c>
    </row>
    <row r="42" spans="1:7" x14ac:dyDescent="0.25">
      <c r="A42" s="4">
        <v>37</v>
      </c>
      <c r="B42" s="5">
        <f>C$41+(A42-A$41)*D$41</f>
        <v>246.91641508680877</v>
      </c>
      <c r="C42" s="21"/>
      <c r="D42" s="21"/>
      <c r="E42" s="21"/>
      <c r="F42" s="21"/>
      <c r="G42" s="21"/>
    </row>
    <row r="43" spans="1:7" x14ac:dyDescent="0.25">
      <c r="A43" s="4">
        <v>38</v>
      </c>
      <c r="B43" s="5">
        <f t="shared" ref="B43:B53" si="5">C$41+(A43-A$41)*D$41</f>
        <v>254.66331977288132</v>
      </c>
      <c r="C43" s="21"/>
      <c r="D43" s="21"/>
      <c r="E43" s="21"/>
      <c r="F43" s="21"/>
      <c r="G43" s="21"/>
    </row>
    <row r="44" spans="1:7" x14ac:dyDescent="0.25">
      <c r="A44" s="4">
        <v>39</v>
      </c>
      <c r="B44" s="5">
        <f t="shared" si="5"/>
        <v>262.41022445895391</v>
      </c>
      <c r="C44" s="21"/>
      <c r="D44" s="21"/>
      <c r="E44" s="21"/>
      <c r="F44" s="21"/>
      <c r="G44" s="21"/>
    </row>
    <row r="45" spans="1:7" x14ac:dyDescent="0.25">
      <c r="A45" s="4">
        <v>40</v>
      </c>
      <c r="B45" s="5">
        <f t="shared" si="5"/>
        <v>270.15712914502643</v>
      </c>
      <c r="C45" s="21"/>
      <c r="D45" s="21"/>
      <c r="E45" s="21"/>
      <c r="F45" s="21"/>
      <c r="G45" s="21"/>
    </row>
    <row r="46" spans="1:7" x14ac:dyDescent="0.25">
      <c r="A46" s="4">
        <v>41</v>
      </c>
      <c r="B46" s="5">
        <f t="shared" si="5"/>
        <v>277.90403383109901</v>
      </c>
      <c r="C46" s="21"/>
      <c r="D46" s="21"/>
      <c r="E46" s="21"/>
      <c r="F46" s="21"/>
      <c r="G46" s="21"/>
    </row>
    <row r="47" spans="1:7" x14ac:dyDescent="0.25">
      <c r="A47" s="4">
        <v>42</v>
      </c>
      <c r="B47" s="5">
        <f t="shared" si="5"/>
        <v>285.65093851717154</v>
      </c>
      <c r="C47" s="21"/>
      <c r="D47" s="21"/>
      <c r="E47" s="21"/>
      <c r="F47" s="21"/>
      <c r="G47" s="21"/>
    </row>
    <row r="48" spans="1:7" x14ac:dyDescent="0.25">
      <c r="A48" s="4">
        <v>43</v>
      </c>
      <c r="B48" s="5">
        <f t="shared" si="5"/>
        <v>293.39784320324412</v>
      </c>
      <c r="C48" s="21"/>
      <c r="D48" s="21"/>
      <c r="E48" s="21"/>
      <c r="F48" s="21"/>
      <c r="G48" s="21"/>
    </row>
    <row r="49" spans="1:7" x14ac:dyDescent="0.25">
      <c r="A49" s="4">
        <v>44</v>
      </c>
      <c r="B49" s="5">
        <f t="shared" si="5"/>
        <v>301.1447478893167</v>
      </c>
      <c r="C49" s="21"/>
      <c r="D49" s="21"/>
      <c r="E49" s="21"/>
      <c r="F49" s="21"/>
      <c r="G49" s="21"/>
    </row>
    <row r="50" spans="1:7" x14ac:dyDescent="0.25">
      <c r="A50" s="4">
        <v>45</v>
      </c>
      <c r="B50" s="5">
        <f t="shared" si="5"/>
        <v>308.89165257538923</v>
      </c>
      <c r="C50" s="21"/>
      <c r="D50" s="21"/>
      <c r="E50" s="21"/>
      <c r="F50" s="21"/>
      <c r="G50" s="21"/>
    </row>
    <row r="51" spans="1:7" x14ac:dyDescent="0.25">
      <c r="A51" s="4">
        <v>46</v>
      </c>
      <c r="B51" s="5">
        <f t="shared" si="5"/>
        <v>316.63855726146181</v>
      </c>
      <c r="C51" s="21"/>
      <c r="D51" s="21"/>
      <c r="E51" s="21"/>
      <c r="F51" s="21"/>
      <c r="G51" s="21"/>
    </row>
    <row r="52" spans="1:7" x14ac:dyDescent="0.25">
      <c r="A52" s="4">
        <v>47</v>
      </c>
      <c r="B52" s="5">
        <f t="shared" si="5"/>
        <v>324.3854619475344</v>
      </c>
      <c r="C52" s="21"/>
      <c r="D52" s="21"/>
      <c r="E52" s="21"/>
      <c r="F52" s="21"/>
      <c r="G52" s="21"/>
    </row>
    <row r="53" spans="1:7" x14ac:dyDescent="0.25">
      <c r="A53" s="4">
        <v>48</v>
      </c>
      <c r="B53" s="5">
        <f t="shared" si="5"/>
        <v>332.13236663360692</v>
      </c>
      <c r="C53" s="21"/>
      <c r="D53" s="21"/>
      <c r="E53" s="21"/>
      <c r="F53" s="21"/>
      <c r="G53" s="21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  <col min="4" max="4" width="10.875" style="18"/>
    <col min="5" max="15" width="10.875" style="17"/>
  </cols>
  <sheetData>
    <row r="1" spans="1:15" x14ac:dyDescent="0.25">
      <c r="A1" t="s">
        <v>1</v>
      </c>
      <c r="B1" t="s">
        <v>25</v>
      </c>
      <c r="C1" t="s">
        <v>10</v>
      </c>
      <c r="D1" s="18">
        <v>1</v>
      </c>
      <c r="E1" s="18">
        <v>2</v>
      </c>
      <c r="F1" s="18">
        <v>3</v>
      </c>
      <c r="G1" s="18">
        <v>4</v>
      </c>
      <c r="H1" s="18">
        <v>5</v>
      </c>
      <c r="I1" s="18">
        <v>6</v>
      </c>
      <c r="J1" s="18">
        <v>7</v>
      </c>
      <c r="K1" s="18">
        <v>8</v>
      </c>
      <c r="L1" s="18">
        <v>9</v>
      </c>
      <c r="M1" s="18">
        <v>10</v>
      </c>
      <c r="N1" s="18">
        <v>11</v>
      </c>
      <c r="O1" s="18">
        <v>12</v>
      </c>
    </row>
    <row r="2" spans="1:15" x14ac:dyDescent="0.25">
      <c r="A2">
        <v>1</v>
      </c>
      <c r="B2">
        <v>8.2830999999999904</v>
      </c>
      <c r="C2">
        <f t="shared" ref="C2:C37" si="0">B2-B$38</f>
        <v>4.7066939584545793</v>
      </c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x14ac:dyDescent="0.25">
      <c r="A3">
        <v>2</v>
      </c>
      <c r="B3">
        <v>7.6968221193019417</v>
      </c>
      <c r="C3">
        <f t="shared" si="0"/>
        <v>4.1204160777565306</v>
      </c>
      <c r="D3" s="18">
        <f>C2</f>
        <v>4.7066939584545793</v>
      </c>
      <c r="E3" s="18">
        <f t="shared" ref="E3:O18" si="1">D2</f>
        <v>0</v>
      </c>
      <c r="F3" s="18">
        <f t="shared" si="1"/>
        <v>0</v>
      </c>
      <c r="G3" s="18">
        <f t="shared" si="1"/>
        <v>0</v>
      </c>
      <c r="H3" s="18">
        <f t="shared" si="1"/>
        <v>0</v>
      </c>
      <c r="I3" s="18">
        <f t="shared" si="1"/>
        <v>0</v>
      </c>
      <c r="J3" s="18">
        <f t="shared" si="1"/>
        <v>0</v>
      </c>
      <c r="K3" s="18">
        <f t="shared" si="1"/>
        <v>0</v>
      </c>
      <c r="L3" s="18">
        <f t="shared" si="1"/>
        <v>0</v>
      </c>
      <c r="M3" s="18">
        <f t="shared" si="1"/>
        <v>0</v>
      </c>
      <c r="N3" s="18">
        <f t="shared" si="1"/>
        <v>0</v>
      </c>
      <c r="O3" s="18">
        <f t="shared" si="1"/>
        <v>0</v>
      </c>
    </row>
    <row r="4" spans="1:15" x14ac:dyDescent="0.25">
      <c r="A4">
        <v>3</v>
      </c>
      <c r="B4">
        <v>-22.772501628217242</v>
      </c>
      <c r="C4">
        <f t="shared" si="0"/>
        <v>-26.348907669762653</v>
      </c>
      <c r="D4" s="18">
        <f t="shared" ref="D4:D37" si="2">C3</f>
        <v>4.1204160777565306</v>
      </c>
      <c r="E4" s="18">
        <f t="shared" si="1"/>
        <v>4.7066939584545793</v>
      </c>
      <c r="F4" s="18">
        <f t="shared" si="1"/>
        <v>0</v>
      </c>
      <c r="G4" s="18">
        <f t="shared" si="1"/>
        <v>0</v>
      </c>
      <c r="H4" s="18">
        <f t="shared" si="1"/>
        <v>0</v>
      </c>
      <c r="I4" s="18">
        <f t="shared" si="1"/>
        <v>0</v>
      </c>
      <c r="J4" s="18">
        <f t="shared" si="1"/>
        <v>0</v>
      </c>
      <c r="K4" s="18">
        <f t="shared" si="1"/>
        <v>0</v>
      </c>
      <c r="L4" s="18">
        <f t="shared" si="1"/>
        <v>0</v>
      </c>
      <c r="M4" s="18">
        <f t="shared" si="1"/>
        <v>0</v>
      </c>
      <c r="N4" s="18">
        <f t="shared" si="1"/>
        <v>0</v>
      </c>
      <c r="O4" s="18">
        <f t="shared" si="1"/>
        <v>0</v>
      </c>
    </row>
    <row r="5" spans="1:15" x14ac:dyDescent="0.25">
      <c r="A5">
        <v>4</v>
      </c>
      <c r="B5">
        <v>-12.362241815638811</v>
      </c>
      <c r="C5">
        <f t="shared" si="0"/>
        <v>-15.938647857184222</v>
      </c>
      <c r="D5" s="18">
        <f t="shared" si="2"/>
        <v>-26.348907669762653</v>
      </c>
      <c r="E5" s="18">
        <f t="shared" si="1"/>
        <v>4.1204160777565306</v>
      </c>
      <c r="F5" s="18">
        <f t="shared" si="1"/>
        <v>4.7066939584545793</v>
      </c>
      <c r="G5" s="18">
        <f t="shared" si="1"/>
        <v>0</v>
      </c>
      <c r="H5" s="18">
        <f t="shared" si="1"/>
        <v>0</v>
      </c>
      <c r="I5" s="18">
        <f t="shared" si="1"/>
        <v>0</v>
      </c>
      <c r="J5" s="18">
        <f t="shared" si="1"/>
        <v>0</v>
      </c>
      <c r="K5" s="18">
        <f t="shared" si="1"/>
        <v>0</v>
      </c>
      <c r="L5" s="18">
        <f t="shared" si="1"/>
        <v>0</v>
      </c>
      <c r="M5" s="18">
        <f t="shared" si="1"/>
        <v>0</v>
      </c>
      <c r="N5" s="18">
        <f t="shared" si="1"/>
        <v>0</v>
      </c>
      <c r="O5" s="18">
        <f t="shared" si="1"/>
        <v>0</v>
      </c>
    </row>
    <row r="6" spans="1:15" x14ac:dyDescent="0.25">
      <c r="A6">
        <v>5</v>
      </c>
      <c r="B6">
        <v>16.619411451549468</v>
      </c>
      <c r="C6">
        <f t="shared" si="0"/>
        <v>13.043005410004056</v>
      </c>
      <c r="D6" s="18">
        <f t="shared" si="2"/>
        <v>-15.938647857184222</v>
      </c>
      <c r="E6" s="18">
        <f t="shared" si="1"/>
        <v>-26.348907669762653</v>
      </c>
      <c r="F6" s="18">
        <f t="shared" si="1"/>
        <v>4.1204160777565306</v>
      </c>
      <c r="G6" s="18">
        <f t="shared" si="1"/>
        <v>4.7066939584545793</v>
      </c>
      <c r="H6" s="18">
        <f t="shared" si="1"/>
        <v>0</v>
      </c>
      <c r="I6" s="18">
        <f t="shared" si="1"/>
        <v>0</v>
      </c>
      <c r="J6" s="18">
        <f t="shared" si="1"/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</row>
    <row r="7" spans="1:15" x14ac:dyDescent="0.25">
      <c r="A7">
        <v>6</v>
      </c>
      <c r="B7">
        <v>0.9174211134621828</v>
      </c>
      <c r="C7">
        <f t="shared" si="0"/>
        <v>-2.6589849280832283</v>
      </c>
      <c r="D7" s="18">
        <f t="shared" si="2"/>
        <v>13.043005410004056</v>
      </c>
      <c r="E7" s="18">
        <f t="shared" si="1"/>
        <v>-15.938647857184222</v>
      </c>
      <c r="F7" s="18">
        <f t="shared" si="1"/>
        <v>-26.348907669762653</v>
      </c>
      <c r="G7" s="18">
        <f t="shared" si="1"/>
        <v>4.1204160777565306</v>
      </c>
      <c r="H7" s="18">
        <f t="shared" si="1"/>
        <v>4.7066939584545793</v>
      </c>
      <c r="I7" s="18">
        <f t="shared" si="1"/>
        <v>0</v>
      </c>
      <c r="J7" s="18">
        <f t="shared" si="1"/>
        <v>0</v>
      </c>
      <c r="K7" s="18">
        <f t="shared" si="1"/>
        <v>0</v>
      </c>
      <c r="L7" s="18">
        <f t="shared" si="1"/>
        <v>0</v>
      </c>
      <c r="M7" s="18">
        <f t="shared" si="1"/>
        <v>0</v>
      </c>
      <c r="N7" s="18">
        <f t="shared" si="1"/>
        <v>0</v>
      </c>
      <c r="O7" s="18">
        <f t="shared" si="1"/>
        <v>0</v>
      </c>
    </row>
    <row r="8" spans="1:15" x14ac:dyDescent="0.25">
      <c r="A8">
        <v>7</v>
      </c>
      <c r="B8">
        <v>-8.4675062032074209</v>
      </c>
      <c r="C8">
        <f t="shared" si="0"/>
        <v>-12.043912244752832</v>
      </c>
      <c r="D8" s="18">
        <f t="shared" si="2"/>
        <v>-2.6589849280832283</v>
      </c>
      <c r="E8" s="18">
        <f t="shared" si="1"/>
        <v>13.043005410004056</v>
      </c>
      <c r="F8" s="18">
        <f t="shared" si="1"/>
        <v>-15.938647857184222</v>
      </c>
      <c r="G8" s="18">
        <f t="shared" si="1"/>
        <v>-26.348907669762653</v>
      </c>
      <c r="H8" s="18">
        <f t="shared" si="1"/>
        <v>4.1204160777565306</v>
      </c>
      <c r="I8" s="18">
        <f t="shared" si="1"/>
        <v>4.7066939584545793</v>
      </c>
      <c r="J8" s="18">
        <f t="shared" si="1"/>
        <v>0</v>
      </c>
      <c r="K8" s="18">
        <f t="shared" si="1"/>
        <v>0</v>
      </c>
      <c r="L8" s="18">
        <f t="shared" si="1"/>
        <v>0</v>
      </c>
      <c r="M8" s="18">
        <f t="shared" si="1"/>
        <v>0</v>
      </c>
      <c r="N8" s="18">
        <f t="shared" si="1"/>
        <v>0</v>
      </c>
      <c r="O8" s="18">
        <f t="shared" si="1"/>
        <v>0</v>
      </c>
    </row>
    <row r="9" spans="1:15" x14ac:dyDescent="0.25">
      <c r="A9">
        <v>8</v>
      </c>
      <c r="B9">
        <v>-5.3703853201602101</v>
      </c>
      <c r="C9">
        <f t="shared" si="0"/>
        <v>-8.9467913617056212</v>
      </c>
      <c r="D9" s="18">
        <f t="shared" si="2"/>
        <v>-12.043912244752832</v>
      </c>
      <c r="E9" s="18">
        <f t="shared" si="1"/>
        <v>-2.6589849280832283</v>
      </c>
      <c r="F9" s="18">
        <f t="shared" si="1"/>
        <v>13.043005410004056</v>
      </c>
      <c r="G9" s="18">
        <f t="shared" si="1"/>
        <v>-15.938647857184222</v>
      </c>
      <c r="H9" s="18">
        <f t="shared" si="1"/>
        <v>-26.348907669762653</v>
      </c>
      <c r="I9" s="18">
        <f t="shared" si="1"/>
        <v>4.1204160777565306</v>
      </c>
      <c r="J9" s="18">
        <f t="shared" si="1"/>
        <v>4.7066939584545793</v>
      </c>
      <c r="K9" s="18">
        <f t="shared" si="1"/>
        <v>0</v>
      </c>
      <c r="L9" s="18">
        <f t="shared" si="1"/>
        <v>0</v>
      </c>
      <c r="M9" s="18">
        <f t="shared" si="1"/>
        <v>0</v>
      </c>
      <c r="N9" s="18">
        <f t="shared" si="1"/>
        <v>0</v>
      </c>
      <c r="O9" s="18">
        <f t="shared" si="1"/>
        <v>0</v>
      </c>
    </row>
    <row r="10" spans="1:15" x14ac:dyDescent="0.25">
      <c r="A10">
        <v>9</v>
      </c>
      <c r="B10">
        <v>6.8734375680267874</v>
      </c>
      <c r="C10">
        <f t="shared" si="0"/>
        <v>3.2970315264813763</v>
      </c>
      <c r="D10" s="18">
        <f t="shared" si="2"/>
        <v>-8.9467913617056212</v>
      </c>
      <c r="E10" s="18">
        <f t="shared" si="1"/>
        <v>-12.043912244752832</v>
      </c>
      <c r="F10" s="18">
        <f t="shared" si="1"/>
        <v>-2.6589849280832283</v>
      </c>
      <c r="G10" s="18">
        <f t="shared" si="1"/>
        <v>13.043005410004056</v>
      </c>
      <c r="H10" s="18">
        <f t="shared" si="1"/>
        <v>-15.938647857184222</v>
      </c>
      <c r="I10" s="18">
        <f t="shared" si="1"/>
        <v>-26.348907669762653</v>
      </c>
      <c r="J10" s="18">
        <f t="shared" si="1"/>
        <v>4.1204160777565306</v>
      </c>
      <c r="K10" s="18">
        <f t="shared" si="1"/>
        <v>4.7066939584545793</v>
      </c>
      <c r="L10" s="18">
        <f t="shared" si="1"/>
        <v>0</v>
      </c>
      <c r="M10" s="18">
        <f t="shared" si="1"/>
        <v>0</v>
      </c>
      <c r="N10" s="18">
        <f t="shared" si="1"/>
        <v>0</v>
      </c>
      <c r="O10" s="18">
        <f t="shared" si="1"/>
        <v>0</v>
      </c>
    </row>
    <row r="11" spans="1:15" x14ac:dyDescent="0.25">
      <c r="A11">
        <v>10</v>
      </c>
      <c r="B11">
        <v>11.806721742125603</v>
      </c>
      <c r="C11">
        <f t="shared" si="0"/>
        <v>8.2303157005801921</v>
      </c>
      <c r="D11" s="18">
        <f t="shared" si="2"/>
        <v>3.2970315264813763</v>
      </c>
      <c r="E11" s="18">
        <f t="shared" si="1"/>
        <v>-8.9467913617056212</v>
      </c>
      <c r="F11" s="18">
        <f t="shared" si="1"/>
        <v>-12.043912244752832</v>
      </c>
      <c r="G11" s="18">
        <f t="shared" si="1"/>
        <v>-2.6589849280832283</v>
      </c>
      <c r="H11" s="18">
        <f t="shared" si="1"/>
        <v>13.043005410004056</v>
      </c>
      <c r="I11" s="18">
        <f t="shared" si="1"/>
        <v>-15.938647857184222</v>
      </c>
      <c r="J11" s="18">
        <f t="shared" si="1"/>
        <v>-26.348907669762653</v>
      </c>
      <c r="K11" s="18">
        <f t="shared" si="1"/>
        <v>4.1204160777565306</v>
      </c>
      <c r="L11" s="18">
        <f t="shared" si="1"/>
        <v>4.7066939584545793</v>
      </c>
      <c r="M11" s="18">
        <f t="shared" si="1"/>
        <v>0</v>
      </c>
      <c r="N11" s="18">
        <f t="shared" si="1"/>
        <v>0</v>
      </c>
      <c r="O11" s="18">
        <f t="shared" si="1"/>
        <v>0</v>
      </c>
    </row>
    <row r="12" spans="1:15" x14ac:dyDescent="0.25">
      <c r="A12">
        <v>11</v>
      </c>
      <c r="B12">
        <v>7.0751314606999074</v>
      </c>
      <c r="C12">
        <f t="shared" si="0"/>
        <v>3.4987254191544963</v>
      </c>
      <c r="D12" s="18">
        <f t="shared" si="2"/>
        <v>8.2303157005801921</v>
      </c>
      <c r="E12" s="18">
        <f t="shared" si="1"/>
        <v>3.2970315264813763</v>
      </c>
      <c r="F12" s="18">
        <f t="shared" si="1"/>
        <v>-8.9467913617056212</v>
      </c>
      <c r="G12" s="18">
        <f t="shared" si="1"/>
        <v>-12.043912244752832</v>
      </c>
      <c r="H12" s="18">
        <f t="shared" si="1"/>
        <v>-2.6589849280832283</v>
      </c>
      <c r="I12" s="18">
        <f t="shared" si="1"/>
        <v>13.043005410004056</v>
      </c>
      <c r="J12" s="18">
        <f t="shared" si="1"/>
        <v>-15.938647857184222</v>
      </c>
      <c r="K12" s="18">
        <f t="shared" si="1"/>
        <v>-26.348907669762653</v>
      </c>
      <c r="L12" s="18">
        <f t="shared" si="1"/>
        <v>4.1204160777565306</v>
      </c>
      <c r="M12" s="18">
        <f t="shared" si="1"/>
        <v>4.7066939584545793</v>
      </c>
      <c r="N12" s="18">
        <f t="shared" si="1"/>
        <v>0</v>
      </c>
      <c r="O12" s="18">
        <f t="shared" si="1"/>
        <v>0</v>
      </c>
    </row>
    <row r="13" spans="1:15" x14ac:dyDescent="0.25">
      <c r="A13">
        <v>12</v>
      </c>
      <c r="B13">
        <v>31.214435668301519</v>
      </c>
      <c r="C13">
        <f t="shared" si="0"/>
        <v>27.638029626756108</v>
      </c>
      <c r="D13" s="18">
        <f t="shared" si="2"/>
        <v>3.4987254191544963</v>
      </c>
      <c r="E13" s="18">
        <f t="shared" si="1"/>
        <v>8.2303157005801921</v>
      </c>
      <c r="F13" s="18">
        <f t="shared" si="1"/>
        <v>3.2970315264813763</v>
      </c>
      <c r="G13" s="18">
        <f t="shared" si="1"/>
        <v>-8.9467913617056212</v>
      </c>
      <c r="H13" s="18">
        <f t="shared" si="1"/>
        <v>-12.043912244752832</v>
      </c>
      <c r="I13" s="18">
        <f t="shared" si="1"/>
        <v>-2.6589849280832283</v>
      </c>
      <c r="J13" s="18">
        <f t="shared" si="1"/>
        <v>13.043005410004056</v>
      </c>
      <c r="K13" s="18">
        <f t="shared" si="1"/>
        <v>-15.938647857184222</v>
      </c>
      <c r="L13" s="18">
        <f t="shared" si="1"/>
        <v>-26.348907669762653</v>
      </c>
      <c r="M13" s="18">
        <f t="shared" si="1"/>
        <v>4.1204160777565306</v>
      </c>
      <c r="N13" s="18">
        <f t="shared" si="1"/>
        <v>4.7066939584545793</v>
      </c>
      <c r="O13" s="18">
        <f t="shared" si="1"/>
        <v>0</v>
      </c>
    </row>
    <row r="14" spans="1:15" x14ac:dyDescent="0.25">
      <c r="A14">
        <v>13</v>
      </c>
      <c r="B14">
        <v>-25.649275533957109</v>
      </c>
      <c r="C14">
        <f t="shared" si="0"/>
        <v>-29.22568157550252</v>
      </c>
      <c r="D14" s="18">
        <f t="shared" si="2"/>
        <v>27.638029626756108</v>
      </c>
      <c r="E14" s="18">
        <f t="shared" si="1"/>
        <v>3.4987254191544963</v>
      </c>
      <c r="F14" s="18">
        <f t="shared" si="1"/>
        <v>8.2303157005801921</v>
      </c>
      <c r="G14" s="18">
        <f t="shared" si="1"/>
        <v>3.2970315264813763</v>
      </c>
      <c r="H14" s="18">
        <f t="shared" si="1"/>
        <v>-8.9467913617056212</v>
      </c>
      <c r="I14" s="18">
        <f t="shared" si="1"/>
        <v>-12.043912244752832</v>
      </c>
      <c r="J14" s="18">
        <f t="shared" si="1"/>
        <v>-2.6589849280832283</v>
      </c>
      <c r="K14" s="18">
        <f t="shared" si="1"/>
        <v>13.043005410004056</v>
      </c>
      <c r="L14" s="18">
        <f t="shared" si="1"/>
        <v>-15.938647857184222</v>
      </c>
      <c r="M14" s="18">
        <f t="shared" si="1"/>
        <v>-26.348907669762653</v>
      </c>
      <c r="N14" s="18">
        <f t="shared" si="1"/>
        <v>4.1204160777565306</v>
      </c>
      <c r="O14" s="18">
        <f t="shared" si="1"/>
        <v>4.7066939584545793</v>
      </c>
    </row>
    <row r="15" spans="1:15" x14ac:dyDescent="0.25">
      <c r="A15">
        <v>14</v>
      </c>
      <c r="B15">
        <v>-13.136148753801677</v>
      </c>
      <c r="C15">
        <f t="shared" si="0"/>
        <v>-16.712554795347089</v>
      </c>
      <c r="D15" s="18">
        <f t="shared" si="2"/>
        <v>-29.22568157550252</v>
      </c>
      <c r="E15" s="18">
        <f t="shared" si="1"/>
        <v>27.638029626756108</v>
      </c>
      <c r="F15" s="18">
        <f t="shared" si="1"/>
        <v>3.4987254191544963</v>
      </c>
      <c r="G15" s="18">
        <f t="shared" si="1"/>
        <v>8.2303157005801921</v>
      </c>
      <c r="H15" s="18">
        <f t="shared" si="1"/>
        <v>3.2970315264813763</v>
      </c>
      <c r="I15" s="18">
        <f t="shared" si="1"/>
        <v>-8.9467913617056212</v>
      </c>
      <c r="J15" s="18">
        <f t="shared" si="1"/>
        <v>-12.043912244752832</v>
      </c>
      <c r="K15" s="18">
        <f t="shared" si="1"/>
        <v>-2.6589849280832283</v>
      </c>
      <c r="L15" s="18">
        <f t="shared" si="1"/>
        <v>13.043005410004056</v>
      </c>
      <c r="M15" s="18">
        <f t="shared" si="1"/>
        <v>-15.938647857184222</v>
      </c>
      <c r="N15" s="18">
        <f t="shared" si="1"/>
        <v>-26.348907669762653</v>
      </c>
      <c r="O15" s="18">
        <f t="shared" si="1"/>
        <v>4.1204160777565306</v>
      </c>
    </row>
    <row r="16" spans="1:15" x14ac:dyDescent="0.25">
      <c r="A16">
        <v>15</v>
      </c>
      <c r="B16">
        <v>-9.410534019324416</v>
      </c>
      <c r="C16">
        <f t="shared" si="0"/>
        <v>-12.986940060869827</v>
      </c>
      <c r="D16" s="18">
        <f t="shared" si="2"/>
        <v>-16.712554795347089</v>
      </c>
      <c r="E16" s="18">
        <f t="shared" si="1"/>
        <v>-29.22568157550252</v>
      </c>
      <c r="F16" s="18">
        <f t="shared" si="1"/>
        <v>27.638029626756108</v>
      </c>
      <c r="G16" s="18">
        <f t="shared" si="1"/>
        <v>3.4987254191544963</v>
      </c>
      <c r="H16" s="18">
        <f t="shared" si="1"/>
        <v>8.2303157005801921</v>
      </c>
      <c r="I16" s="18">
        <f t="shared" si="1"/>
        <v>3.2970315264813763</v>
      </c>
      <c r="J16" s="18">
        <f t="shared" si="1"/>
        <v>-8.9467913617056212</v>
      </c>
      <c r="K16" s="18">
        <f t="shared" si="1"/>
        <v>-12.043912244752832</v>
      </c>
      <c r="L16" s="18">
        <f t="shared" si="1"/>
        <v>-2.6589849280832283</v>
      </c>
      <c r="M16" s="18">
        <f t="shared" si="1"/>
        <v>13.043005410004056</v>
      </c>
      <c r="N16" s="18">
        <f t="shared" si="1"/>
        <v>-15.938647857184222</v>
      </c>
      <c r="O16" s="18">
        <f t="shared" si="1"/>
        <v>-26.348907669762653</v>
      </c>
    </row>
    <row r="17" spans="1:15" x14ac:dyDescent="0.25">
      <c r="A17">
        <v>16</v>
      </c>
      <c r="B17">
        <v>-18.811014128196746</v>
      </c>
      <c r="C17">
        <f t="shared" si="0"/>
        <v>-22.387420169742157</v>
      </c>
      <c r="D17" s="18">
        <f t="shared" si="2"/>
        <v>-12.986940060869827</v>
      </c>
      <c r="E17" s="18">
        <f t="shared" si="1"/>
        <v>-16.712554795347089</v>
      </c>
      <c r="F17" s="18">
        <f t="shared" si="1"/>
        <v>-29.22568157550252</v>
      </c>
      <c r="G17" s="18">
        <f t="shared" si="1"/>
        <v>27.638029626756108</v>
      </c>
      <c r="H17" s="18">
        <f t="shared" si="1"/>
        <v>3.4987254191544963</v>
      </c>
      <c r="I17" s="18">
        <f t="shared" si="1"/>
        <v>8.2303157005801921</v>
      </c>
      <c r="J17" s="18">
        <f t="shared" si="1"/>
        <v>3.2970315264813763</v>
      </c>
      <c r="K17" s="18">
        <f t="shared" si="1"/>
        <v>-8.9467913617056212</v>
      </c>
      <c r="L17" s="18">
        <f t="shared" si="1"/>
        <v>-12.043912244752832</v>
      </c>
      <c r="M17" s="18">
        <f t="shared" si="1"/>
        <v>-2.6589849280832283</v>
      </c>
      <c r="N17" s="18">
        <f t="shared" si="1"/>
        <v>13.043005410004056</v>
      </c>
      <c r="O17" s="18">
        <f t="shared" si="1"/>
        <v>-15.938647857184222</v>
      </c>
    </row>
    <row r="18" spans="1:15" x14ac:dyDescent="0.25">
      <c r="A18">
        <v>17</v>
      </c>
      <c r="B18">
        <v>34.642925457800828</v>
      </c>
      <c r="C18">
        <f t="shared" si="0"/>
        <v>31.066519416255417</v>
      </c>
      <c r="D18" s="18">
        <f t="shared" si="2"/>
        <v>-22.387420169742157</v>
      </c>
      <c r="E18" s="18">
        <f t="shared" si="1"/>
        <v>-12.986940060869827</v>
      </c>
      <c r="F18" s="18">
        <f t="shared" si="1"/>
        <v>-16.712554795347089</v>
      </c>
      <c r="G18" s="18">
        <f t="shared" si="1"/>
        <v>-29.22568157550252</v>
      </c>
      <c r="H18" s="18">
        <f t="shared" si="1"/>
        <v>27.638029626756108</v>
      </c>
      <c r="I18" s="18">
        <f t="shared" si="1"/>
        <v>3.4987254191544963</v>
      </c>
      <c r="J18" s="18">
        <f t="shared" si="1"/>
        <v>8.2303157005801921</v>
      </c>
      <c r="K18" s="18">
        <f t="shared" si="1"/>
        <v>3.2970315264813763</v>
      </c>
      <c r="L18" s="18">
        <f t="shared" si="1"/>
        <v>-8.9467913617056212</v>
      </c>
      <c r="M18" s="18">
        <f t="shared" si="1"/>
        <v>-12.043912244752832</v>
      </c>
      <c r="N18" s="18">
        <f t="shared" si="1"/>
        <v>-2.6589849280832283</v>
      </c>
      <c r="O18" s="18">
        <f t="shared" si="1"/>
        <v>13.043005410004056</v>
      </c>
    </row>
    <row r="19" spans="1:15" x14ac:dyDescent="0.25">
      <c r="A19">
        <v>18</v>
      </c>
      <c r="B19">
        <v>-16.347455398623936</v>
      </c>
      <c r="C19">
        <f t="shared" si="0"/>
        <v>-19.923861440169347</v>
      </c>
      <c r="D19" s="18">
        <f t="shared" si="2"/>
        <v>31.066519416255417</v>
      </c>
      <c r="E19" s="18">
        <f t="shared" ref="E19:O34" si="3">D18</f>
        <v>-22.387420169742157</v>
      </c>
      <c r="F19" s="18">
        <f t="shared" si="3"/>
        <v>-12.986940060869827</v>
      </c>
      <c r="G19" s="18">
        <f t="shared" si="3"/>
        <v>-16.712554795347089</v>
      </c>
      <c r="H19" s="18">
        <f t="shared" si="3"/>
        <v>-29.22568157550252</v>
      </c>
      <c r="I19" s="18">
        <f t="shared" si="3"/>
        <v>27.638029626756108</v>
      </c>
      <c r="J19" s="18">
        <f t="shared" si="3"/>
        <v>3.4987254191544963</v>
      </c>
      <c r="K19" s="18">
        <f t="shared" si="3"/>
        <v>8.2303157005801921</v>
      </c>
      <c r="L19" s="18">
        <f t="shared" si="3"/>
        <v>3.2970315264813763</v>
      </c>
      <c r="M19" s="18">
        <f t="shared" si="3"/>
        <v>-8.9467913617056212</v>
      </c>
      <c r="N19" s="18">
        <f t="shared" si="3"/>
        <v>-12.043912244752832</v>
      </c>
      <c r="O19" s="18">
        <f t="shared" si="3"/>
        <v>-2.6589849280832283</v>
      </c>
    </row>
    <row r="20" spans="1:15" x14ac:dyDescent="0.25">
      <c r="A20">
        <v>19</v>
      </c>
      <c r="B20">
        <v>-5.1577618783316836</v>
      </c>
      <c r="C20">
        <f t="shared" si="0"/>
        <v>-8.7341679198770947</v>
      </c>
      <c r="D20" s="18">
        <f t="shared" si="2"/>
        <v>-19.923861440169347</v>
      </c>
      <c r="E20" s="18">
        <f t="shared" si="3"/>
        <v>31.066519416255417</v>
      </c>
      <c r="F20" s="18">
        <f t="shared" si="3"/>
        <v>-22.387420169742157</v>
      </c>
      <c r="G20" s="18">
        <f t="shared" si="3"/>
        <v>-12.986940060869827</v>
      </c>
      <c r="H20" s="18">
        <f t="shared" si="3"/>
        <v>-16.712554795347089</v>
      </c>
      <c r="I20" s="18">
        <f t="shared" si="3"/>
        <v>-29.22568157550252</v>
      </c>
      <c r="J20" s="18">
        <f t="shared" si="3"/>
        <v>27.638029626756108</v>
      </c>
      <c r="K20" s="18">
        <f t="shared" si="3"/>
        <v>3.4987254191544963</v>
      </c>
      <c r="L20" s="18">
        <f t="shared" si="3"/>
        <v>8.2303157005801921</v>
      </c>
      <c r="M20" s="18">
        <f t="shared" si="3"/>
        <v>3.2970315264813763</v>
      </c>
      <c r="N20" s="18">
        <f t="shared" si="3"/>
        <v>-8.9467913617056212</v>
      </c>
      <c r="O20" s="18">
        <f t="shared" si="3"/>
        <v>-12.043912244752832</v>
      </c>
    </row>
    <row r="21" spans="1:15" x14ac:dyDescent="0.25">
      <c r="A21">
        <v>20</v>
      </c>
      <c r="B21">
        <v>4.8373753908315678</v>
      </c>
      <c r="C21">
        <f t="shared" si="0"/>
        <v>1.2609693492861567</v>
      </c>
      <c r="D21" s="18">
        <f t="shared" si="2"/>
        <v>-8.7341679198770947</v>
      </c>
      <c r="E21" s="18">
        <f t="shared" si="3"/>
        <v>-19.923861440169347</v>
      </c>
      <c r="F21" s="18">
        <f t="shared" si="3"/>
        <v>31.066519416255417</v>
      </c>
      <c r="G21" s="18">
        <f t="shared" si="3"/>
        <v>-22.387420169742157</v>
      </c>
      <c r="H21" s="18">
        <f t="shared" si="3"/>
        <v>-12.986940060869827</v>
      </c>
      <c r="I21" s="18">
        <f t="shared" si="3"/>
        <v>-16.712554795347089</v>
      </c>
      <c r="J21" s="18">
        <f t="shared" si="3"/>
        <v>-29.22568157550252</v>
      </c>
      <c r="K21" s="18">
        <f t="shared" si="3"/>
        <v>27.638029626756108</v>
      </c>
      <c r="L21" s="18">
        <f t="shared" si="3"/>
        <v>3.4987254191544963</v>
      </c>
      <c r="M21" s="18">
        <f t="shared" si="3"/>
        <v>8.2303157005801921</v>
      </c>
      <c r="N21" s="18">
        <f t="shared" si="3"/>
        <v>3.2970315264813763</v>
      </c>
      <c r="O21" s="18">
        <f t="shared" si="3"/>
        <v>-8.9467913617056212</v>
      </c>
    </row>
    <row r="22" spans="1:15" x14ac:dyDescent="0.25">
      <c r="A22">
        <v>21</v>
      </c>
      <c r="B22">
        <v>17.075364023394798</v>
      </c>
      <c r="C22">
        <f t="shared" si="0"/>
        <v>13.498957981849387</v>
      </c>
      <c r="D22" s="18">
        <f t="shared" si="2"/>
        <v>1.2609693492861567</v>
      </c>
      <c r="E22" s="18">
        <f t="shared" si="3"/>
        <v>-8.7341679198770947</v>
      </c>
      <c r="F22" s="18">
        <f t="shared" si="3"/>
        <v>-19.923861440169347</v>
      </c>
      <c r="G22" s="18">
        <f t="shared" si="3"/>
        <v>31.066519416255417</v>
      </c>
      <c r="H22" s="18">
        <f t="shared" si="3"/>
        <v>-22.387420169742157</v>
      </c>
      <c r="I22" s="18">
        <f t="shared" si="3"/>
        <v>-12.986940060869827</v>
      </c>
      <c r="J22" s="18">
        <f t="shared" si="3"/>
        <v>-16.712554795347089</v>
      </c>
      <c r="K22" s="18">
        <f t="shared" si="3"/>
        <v>-29.22568157550252</v>
      </c>
      <c r="L22" s="18">
        <f t="shared" si="3"/>
        <v>27.638029626756108</v>
      </c>
      <c r="M22" s="18">
        <f t="shared" si="3"/>
        <v>3.4987254191544963</v>
      </c>
      <c r="N22" s="18">
        <f t="shared" si="3"/>
        <v>8.2303157005801921</v>
      </c>
      <c r="O22" s="18">
        <f t="shared" si="3"/>
        <v>3.2970315264813763</v>
      </c>
    </row>
    <row r="23" spans="1:15" x14ac:dyDescent="0.25">
      <c r="A23">
        <v>22</v>
      </c>
      <c r="B23">
        <v>7.6494953405228046</v>
      </c>
      <c r="C23">
        <f t="shared" si="0"/>
        <v>4.0730892989773935</v>
      </c>
      <c r="D23" s="18">
        <f t="shared" si="2"/>
        <v>13.498957981849387</v>
      </c>
      <c r="E23" s="18">
        <f t="shared" si="3"/>
        <v>1.2609693492861567</v>
      </c>
      <c r="F23" s="18">
        <f t="shared" si="3"/>
        <v>-8.7341679198770947</v>
      </c>
      <c r="G23" s="18">
        <f t="shared" si="3"/>
        <v>-19.923861440169347</v>
      </c>
      <c r="H23" s="18">
        <f t="shared" si="3"/>
        <v>31.066519416255417</v>
      </c>
      <c r="I23" s="18">
        <f t="shared" si="3"/>
        <v>-22.387420169742157</v>
      </c>
      <c r="J23" s="18">
        <f t="shared" si="3"/>
        <v>-12.986940060869827</v>
      </c>
      <c r="K23" s="18">
        <f t="shared" si="3"/>
        <v>-16.712554795347089</v>
      </c>
      <c r="L23" s="18">
        <f t="shared" si="3"/>
        <v>-29.22568157550252</v>
      </c>
      <c r="M23" s="18">
        <f t="shared" si="3"/>
        <v>27.638029626756108</v>
      </c>
      <c r="N23" s="18">
        <f t="shared" si="3"/>
        <v>3.4987254191544963</v>
      </c>
      <c r="O23" s="18">
        <f t="shared" si="3"/>
        <v>8.2303157005801921</v>
      </c>
    </row>
    <row r="24" spans="1:15" x14ac:dyDescent="0.25">
      <c r="A24">
        <v>23</v>
      </c>
      <c r="B24">
        <v>13.168411753736905</v>
      </c>
      <c r="C24">
        <f t="shared" si="0"/>
        <v>9.5920057121914937</v>
      </c>
      <c r="D24" s="18">
        <f t="shared" si="2"/>
        <v>4.0730892989773935</v>
      </c>
      <c r="E24" s="18">
        <f t="shared" si="3"/>
        <v>13.498957981849387</v>
      </c>
      <c r="F24" s="18">
        <f t="shared" si="3"/>
        <v>1.2609693492861567</v>
      </c>
      <c r="G24" s="18">
        <f t="shared" si="3"/>
        <v>-8.7341679198770947</v>
      </c>
      <c r="H24" s="18">
        <f t="shared" si="3"/>
        <v>-19.923861440169347</v>
      </c>
      <c r="I24" s="18">
        <f t="shared" si="3"/>
        <v>31.066519416255417</v>
      </c>
      <c r="J24" s="18">
        <f t="shared" si="3"/>
        <v>-22.387420169742157</v>
      </c>
      <c r="K24" s="18">
        <f t="shared" si="3"/>
        <v>-12.986940060869827</v>
      </c>
      <c r="L24" s="18">
        <f t="shared" si="3"/>
        <v>-16.712554795347089</v>
      </c>
      <c r="M24" s="18">
        <f t="shared" si="3"/>
        <v>-29.22568157550252</v>
      </c>
      <c r="N24" s="18">
        <f t="shared" si="3"/>
        <v>27.638029626756108</v>
      </c>
      <c r="O24" s="18">
        <f t="shared" si="3"/>
        <v>3.4987254191544963</v>
      </c>
    </row>
    <row r="25" spans="1:15" x14ac:dyDescent="0.25">
      <c r="A25">
        <v>24</v>
      </c>
      <c r="B25">
        <v>31.588791482139584</v>
      </c>
      <c r="C25">
        <f t="shared" si="0"/>
        <v>28.012385440594173</v>
      </c>
      <c r="D25" s="18">
        <f t="shared" si="2"/>
        <v>9.5920057121914937</v>
      </c>
      <c r="E25" s="18">
        <f t="shared" si="3"/>
        <v>4.0730892989773935</v>
      </c>
      <c r="F25" s="18">
        <f t="shared" si="3"/>
        <v>13.498957981849387</v>
      </c>
      <c r="G25" s="18">
        <f t="shared" si="3"/>
        <v>1.2609693492861567</v>
      </c>
      <c r="H25" s="18">
        <f t="shared" si="3"/>
        <v>-8.7341679198770947</v>
      </c>
      <c r="I25" s="18">
        <f t="shared" si="3"/>
        <v>-19.923861440169347</v>
      </c>
      <c r="J25" s="18">
        <f t="shared" si="3"/>
        <v>31.066519416255417</v>
      </c>
      <c r="K25" s="18">
        <f t="shared" si="3"/>
        <v>-22.387420169742157</v>
      </c>
      <c r="L25" s="18">
        <f t="shared" si="3"/>
        <v>-12.986940060869827</v>
      </c>
      <c r="M25" s="18">
        <f t="shared" si="3"/>
        <v>-16.712554795347089</v>
      </c>
      <c r="N25" s="18">
        <f t="shared" si="3"/>
        <v>-29.22568157550252</v>
      </c>
      <c r="O25" s="18">
        <f t="shared" si="3"/>
        <v>27.638029626756108</v>
      </c>
    </row>
    <row r="26" spans="1:15" x14ac:dyDescent="0.25">
      <c r="A26">
        <v>25</v>
      </c>
      <c r="B26">
        <v>-32.237607213064877</v>
      </c>
      <c r="C26">
        <f t="shared" si="0"/>
        <v>-35.814013254610288</v>
      </c>
      <c r="D26" s="18">
        <f t="shared" si="2"/>
        <v>28.012385440594173</v>
      </c>
      <c r="E26" s="18">
        <f t="shared" si="3"/>
        <v>9.5920057121914937</v>
      </c>
      <c r="F26" s="18">
        <f t="shared" si="3"/>
        <v>4.0730892989773935</v>
      </c>
      <c r="G26" s="18">
        <f t="shared" si="3"/>
        <v>13.498957981849387</v>
      </c>
      <c r="H26" s="18">
        <f t="shared" si="3"/>
        <v>1.2609693492861567</v>
      </c>
      <c r="I26" s="18">
        <f t="shared" si="3"/>
        <v>-8.7341679198770947</v>
      </c>
      <c r="J26" s="18">
        <f t="shared" si="3"/>
        <v>-19.923861440169347</v>
      </c>
      <c r="K26" s="18">
        <f t="shared" si="3"/>
        <v>31.066519416255417</v>
      </c>
      <c r="L26" s="18">
        <f t="shared" si="3"/>
        <v>-22.387420169742157</v>
      </c>
      <c r="M26" s="18">
        <f t="shared" si="3"/>
        <v>-12.986940060869827</v>
      </c>
      <c r="N26" s="18">
        <f t="shared" si="3"/>
        <v>-16.712554795347089</v>
      </c>
      <c r="O26" s="18">
        <f t="shared" si="3"/>
        <v>-29.22568157550252</v>
      </c>
    </row>
    <row r="27" spans="1:15" x14ac:dyDescent="0.25">
      <c r="A27">
        <v>26</v>
      </c>
      <c r="B27">
        <v>16.132593176740698</v>
      </c>
      <c r="C27">
        <f t="shared" si="0"/>
        <v>12.556187135195287</v>
      </c>
      <c r="D27" s="18">
        <f t="shared" si="2"/>
        <v>-35.814013254610288</v>
      </c>
      <c r="E27" s="18">
        <f t="shared" si="3"/>
        <v>28.012385440594173</v>
      </c>
      <c r="F27" s="18">
        <f t="shared" si="3"/>
        <v>9.5920057121914937</v>
      </c>
      <c r="G27" s="18">
        <f t="shared" si="3"/>
        <v>4.0730892989773935</v>
      </c>
      <c r="H27" s="18">
        <f t="shared" si="3"/>
        <v>13.498957981849387</v>
      </c>
      <c r="I27" s="18">
        <f t="shared" si="3"/>
        <v>1.2609693492861567</v>
      </c>
      <c r="J27" s="18">
        <f t="shared" si="3"/>
        <v>-8.7341679198770947</v>
      </c>
      <c r="K27" s="18">
        <f t="shared" si="3"/>
        <v>-19.923861440169347</v>
      </c>
      <c r="L27" s="18">
        <f t="shared" si="3"/>
        <v>31.066519416255417</v>
      </c>
      <c r="M27" s="18">
        <f t="shared" si="3"/>
        <v>-22.387420169742157</v>
      </c>
      <c r="N27" s="18">
        <f t="shared" si="3"/>
        <v>-12.986940060869827</v>
      </c>
      <c r="O27" s="18">
        <f t="shared" si="3"/>
        <v>-16.712554795347089</v>
      </c>
    </row>
    <row r="28" spans="1:15" x14ac:dyDescent="0.25">
      <c r="A28">
        <v>27</v>
      </c>
      <c r="B28">
        <v>-29.942797718952505</v>
      </c>
      <c r="C28">
        <f t="shared" si="0"/>
        <v>-33.519203760497916</v>
      </c>
      <c r="D28" s="18">
        <f t="shared" si="2"/>
        <v>12.556187135195287</v>
      </c>
      <c r="E28" s="18">
        <f t="shared" si="3"/>
        <v>-35.814013254610288</v>
      </c>
      <c r="F28" s="18">
        <f t="shared" si="3"/>
        <v>28.012385440594173</v>
      </c>
      <c r="G28" s="18">
        <f t="shared" si="3"/>
        <v>9.5920057121914937</v>
      </c>
      <c r="H28" s="18">
        <f t="shared" si="3"/>
        <v>4.0730892989773935</v>
      </c>
      <c r="I28" s="18">
        <f t="shared" si="3"/>
        <v>13.498957981849387</v>
      </c>
      <c r="J28" s="18">
        <f t="shared" si="3"/>
        <v>1.2609693492861567</v>
      </c>
      <c r="K28" s="18">
        <f t="shared" si="3"/>
        <v>-8.7341679198770947</v>
      </c>
      <c r="L28" s="18">
        <f t="shared" si="3"/>
        <v>-19.923861440169347</v>
      </c>
      <c r="M28" s="18">
        <f t="shared" si="3"/>
        <v>31.066519416255417</v>
      </c>
      <c r="N28" s="18">
        <f t="shared" si="3"/>
        <v>-22.387420169742157</v>
      </c>
      <c r="O28" s="18">
        <f t="shared" si="3"/>
        <v>-12.986940060869827</v>
      </c>
    </row>
    <row r="29" spans="1:15" x14ac:dyDescent="0.25">
      <c r="A29">
        <v>28</v>
      </c>
      <c r="B29">
        <v>2.3983816249066763</v>
      </c>
      <c r="C29">
        <f t="shared" si="0"/>
        <v>-1.1780244166387348</v>
      </c>
      <c r="D29" s="18">
        <f t="shared" si="2"/>
        <v>-33.519203760497916</v>
      </c>
      <c r="E29" s="18">
        <f t="shared" si="3"/>
        <v>12.556187135195287</v>
      </c>
      <c r="F29" s="18">
        <f t="shared" si="3"/>
        <v>-35.814013254610288</v>
      </c>
      <c r="G29" s="18">
        <f t="shared" si="3"/>
        <v>28.012385440594173</v>
      </c>
      <c r="H29" s="18">
        <f t="shared" si="3"/>
        <v>9.5920057121914937</v>
      </c>
      <c r="I29" s="18">
        <f t="shared" si="3"/>
        <v>4.0730892989773935</v>
      </c>
      <c r="J29" s="18">
        <f t="shared" si="3"/>
        <v>13.498957981849387</v>
      </c>
      <c r="K29" s="18">
        <f t="shared" si="3"/>
        <v>1.2609693492861567</v>
      </c>
      <c r="L29" s="18">
        <f t="shared" si="3"/>
        <v>-8.7341679198770947</v>
      </c>
      <c r="M29" s="18">
        <f t="shared" si="3"/>
        <v>-19.923861440169347</v>
      </c>
      <c r="N29" s="18">
        <f t="shared" si="3"/>
        <v>31.066519416255417</v>
      </c>
      <c r="O29" s="18">
        <f t="shared" si="3"/>
        <v>-22.387420169742157</v>
      </c>
    </row>
    <row r="30" spans="1:15" x14ac:dyDescent="0.25">
      <c r="A30">
        <v>29</v>
      </c>
      <c r="B30">
        <v>10.339524416749185</v>
      </c>
      <c r="C30">
        <f t="shared" si="0"/>
        <v>6.7631183752037742</v>
      </c>
      <c r="D30" s="18">
        <f t="shared" si="2"/>
        <v>-1.1780244166387348</v>
      </c>
      <c r="E30" s="18">
        <f t="shared" si="3"/>
        <v>-33.519203760497916</v>
      </c>
      <c r="F30" s="18">
        <f t="shared" si="3"/>
        <v>12.556187135195287</v>
      </c>
      <c r="G30" s="18">
        <f t="shared" si="3"/>
        <v>-35.814013254610288</v>
      </c>
      <c r="H30" s="18">
        <f t="shared" si="3"/>
        <v>28.012385440594173</v>
      </c>
      <c r="I30" s="18">
        <f t="shared" si="3"/>
        <v>9.5920057121914937</v>
      </c>
      <c r="J30" s="18">
        <f t="shared" si="3"/>
        <v>4.0730892989773935</v>
      </c>
      <c r="K30" s="18">
        <f t="shared" si="3"/>
        <v>13.498957981849387</v>
      </c>
      <c r="L30" s="18">
        <f t="shared" si="3"/>
        <v>1.2609693492861567</v>
      </c>
      <c r="M30" s="18">
        <f t="shared" si="3"/>
        <v>-8.7341679198770947</v>
      </c>
      <c r="N30" s="18">
        <f t="shared" si="3"/>
        <v>-19.923861440169347</v>
      </c>
      <c r="O30" s="18">
        <f t="shared" si="3"/>
        <v>31.066519416255417</v>
      </c>
    </row>
    <row r="31" spans="1:15" x14ac:dyDescent="0.25">
      <c r="A31">
        <v>30</v>
      </c>
      <c r="B31">
        <v>-15.315320997697313</v>
      </c>
      <c r="C31">
        <f t="shared" si="0"/>
        <v>-18.891727039242724</v>
      </c>
      <c r="D31" s="18">
        <f t="shared" si="2"/>
        <v>6.7631183752037742</v>
      </c>
      <c r="E31" s="18">
        <f t="shared" si="3"/>
        <v>-1.1780244166387348</v>
      </c>
      <c r="F31" s="18">
        <f t="shared" si="3"/>
        <v>-33.519203760497916</v>
      </c>
      <c r="G31" s="18">
        <f t="shared" si="3"/>
        <v>12.556187135195287</v>
      </c>
      <c r="H31" s="18">
        <f t="shared" si="3"/>
        <v>-35.814013254610288</v>
      </c>
      <c r="I31" s="18">
        <f t="shared" si="3"/>
        <v>28.012385440594173</v>
      </c>
      <c r="J31" s="18">
        <f t="shared" si="3"/>
        <v>9.5920057121914937</v>
      </c>
      <c r="K31" s="18">
        <f t="shared" si="3"/>
        <v>4.0730892989773935</v>
      </c>
      <c r="L31" s="18">
        <f t="shared" si="3"/>
        <v>13.498957981849387</v>
      </c>
      <c r="M31" s="18">
        <f t="shared" si="3"/>
        <v>1.2609693492861567</v>
      </c>
      <c r="N31" s="18">
        <f t="shared" si="3"/>
        <v>-8.7341679198770947</v>
      </c>
      <c r="O31" s="18">
        <f t="shared" si="3"/>
        <v>-19.923861440169347</v>
      </c>
    </row>
    <row r="32" spans="1:15" x14ac:dyDescent="0.25">
      <c r="A32">
        <v>31</v>
      </c>
      <c r="B32">
        <v>11.47512271463188</v>
      </c>
      <c r="C32">
        <f t="shared" si="0"/>
        <v>7.8987166730864686</v>
      </c>
      <c r="D32" s="18">
        <f t="shared" si="2"/>
        <v>-18.891727039242724</v>
      </c>
      <c r="E32" s="18">
        <f t="shared" si="3"/>
        <v>6.7631183752037742</v>
      </c>
      <c r="F32" s="18">
        <f t="shared" si="3"/>
        <v>-1.1780244166387348</v>
      </c>
      <c r="G32" s="18">
        <f t="shared" si="3"/>
        <v>-33.519203760497916</v>
      </c>
      <c r="H32" s="18">
        <f t="shared" si="3"/>
        <v>12.556187135195287</v>
      </c>
      <c r="I32" s="18">
        <f t="shared" si="3"/>
        <v>-35.814013254610288</v>
      </c>
      <c r="J32" s="18">
        <f t="shared" si="3"/>
        <v>28.012385440594173</v>
      </c>
      <c r="K32" s="18">
        <f t="shared" si="3"/>
        <v>9.5920057121914937</v>
      </c>
      <c r="L32" s="18">
        <f t="shared" si="3"/>
        <v>4.0730892989773935</v>
      </c>
      <c r="M32" s="18">
        <f t="shared" si="3"/>
        <v>13.498957981849387</v>
      </c>
      <c r="N32" s="18">
        <f t="shared" si="3"/>
        <v>1.2609693492861567</v>
      </c>
      <c r="O32" s="18">
        <f t="shared" si="3"/>
        <v>-8.7341679198770947</v>
      </c>
    </row>
    <row r="33" spans="1:15" x14ac:dyDescent="0.25">
      <c r="A33">
        <v>32</v>
      </c>
      <c r="B33">
        <v>-0.7937522328905402</v>
      </c>
      <c r="C33">
        <f t="shared" si="0"/>
        <v>-4.3701582744359513</v>
      </c>
      <c r="D33" s="18">
        <f t="shared" si="2"/>
        <v>7.8987166730864686</v>
      </c>
      <c r="E33" s="18">
        <f t="shared" si="3"/>
        <v>-18.891727039242724</v>
      </c>
      <c r="F33" s="18">
        <f t="shared" si="3"/>
        <v>6.7631183752037742</v>
      </c>
      <c r="G33" s="18">
        <f t="shared" si="3"/>
        <v>-1.1780244166387348</v>
      </c>
      <c r="H33" s="18">
        <f t="shared" si="3"/>
        <v>-33.519203760497916</v>
      </c>
      <c r="I33" s="18">
        <f t="shared" si="3"/>
        <v>12.556187135195287</v>
      </c>
      <c r="J33" s="18">
        <f t="shared" si="3"/>
        <v>-35.814013254610288</v>
      </c>
      <c r="K33" s="18">
        <f t="shared" si="3"/>
        <v>28.012385440594173</v>
      </c>
      <c r="L33" s="18">
        <f t="shared" si="3"/>
        <v>9.5920057121914937</v>
      </c>
      <c r="M33" s="18">
        <f t="shared" si="3"/>
        <v>4.0730892989773935</v>
      </c>
      <c r="N33" s="18">
        <f t="shared" si="3"/>
        <v>13.498957981849387</v>
      </c>
      <c r="O33" s="18">
        <f t="shared" si="3"/>
        <v>1.2609693492861567</v>
      </c>
    </row>
    <row r="34" spans="1:15" x14ac:dyDescent="0.25">
      <c r="A34">
        <v>33</v>
      </c>
      <c r="B34">
        <v>6.0515768311473153</v>
      </c>
      <c r="C34">
        <f t="shared" si="0"/>
        <v>2.4751707896019042</v>
      </c>
      <c r="D34" s="18">
        <f t="shared" si="2"/>
        <v>-4.3701582744359513</v>
      </c>
      <c r="E34" s="18">
        <f t="shared" si="3"/>
        <v>7.8987166730864686</v>
      </c>
      <c r="F34" s="18">
        <f t="shared" si="3"/>
        <v>-18.891727039242724</v>
      </c>
      <c r="G34" s="18">
        <f t="shared" si="3"/>
        <v>6.7631183752037742</v>
      </c>
      <c r="H34" s="18">
        <f t="shared" si="3"/>
        <v>-1.1780244166387348</v>
      </c>
      <c r="I34" s="18">
        <f t="shared" si="3"/>
        <v>-33.519203760497916</v>
      </c>
      <c r="J34" s="18">
        <f t="shared" si="3"/>
        <v>12.556187135195287</v>
      </c>
      <c r="K34" s="18">
        <f t="shared" si="3"/>
        <v>-35.814013254610288</v>
      </c>
      <c r="L34" s="18">
        <f t="shared" si="3"/>
        <v>28.012385440594173</v>
      </c>
      <c r="M34" s="18">
        <f t="shared" si="3"/>
        <v>9.5920057121914937</v>
      </c>
      <c r="N34" s="18">
        <f t="shared" si="3"/>
        <v>4.0730892989773935</v>
      </c>
      <c r="O34" s="18">
        <f t="shared" si="3"/>
        <v>13.498957981849387</v>
      </c>
    </row>
    <row r="35" spans="1:15" x14ac:dyDescent="0.25">
      <c r="A35">
        <v>34</v>
      </c>
      <c r="B35">
        <v>2.1732872287486202</v>
      </c>
      <c r="C35">
        <f t="shared" si="0"/>
        <v>-1.4031188127967908</v>
      </c>
      <c r="D35" s="18">
        <f t="shared" si="2"/>
        <v>2.4751707896019042</v>
      </c>
      <c r="E35" s="18">
        <f t="shared" ref="E35:O37" si="4">D34</f>
        <v>-4.3701582744359513</v>
      </c>
      <c r="F35" s="18">
        <f t="shared" si="4"/>
        <v>7.8987166730864686</v>
      </c>
      <c r="G35" s="18">
        <f t="shared" si="4"/>
        <v>-18.891727039242724</v>
      </c>
      <c r="H35" s="18">
        <f t="shared" si="4"/>
        <v>6.7631183752037742</v>
      </c>
      <c r="I35" s="18">
        <f t="shared" si="4"/>
        <v>-1.1780244166387348</v>
      </c>
      <c r="J35" s="18">
        <f t="shared" si="4"/>
        <v>-33.519203760497916</v>
      </c>
      <c r="K35" s="18">
        <f t="shared" si="4"/>
        <v>12.556187135195287</v>
      </c>
      <c r="L35" s="18">
        <f t="shared" si="4"/>
        <v>-35.814013254610288</v>
      </c>
      <c r="M35" s="18">
        <f t="shared" si="4"/>
        <v>28.012385440594173</v>
      </c>
      <c r="N35" s="18">
        <f t="shared" si="4"/>
        <v>9.5920057121914937</v>
      </c>
      <c r="O35" s="18">
        <f t="shared" si="4"/>
        <v>4.0730892989773935</v>
      </c>
    </row>
    <row r="36" spans="1:15" x14ac:dyDescent="0.25">
      <c r="A36">
        <v>35</v>
      </c>
      <c r="B36">
        <v>44.775092589634028</v>
      </c>
      <c r="C36">
        <f t="shared" si="0"/>
        <v>41.198686548088617</v>
      </c>
      <c r="D36" s="18">
        <f t="shared" si="2"/>
        <v>-1.4031188127967908</v>
      </c>
      <c r="E36" s="18">
        <f t="shared" si="4"/>
        <v>2.4751707896019042</v>
      </c>
      <c r="F36" s="18">
        <f t="shared" si="4"/>
        <v>-4.3701582744359513</v>
      </c>
      <c r="G36" s="18">
        <f t="shared" si="4"/>
        <v>7.8987166730864686</v>
      </c>
      <c r="H36" s="18">
        <f t="shared" si="4"/>
        <v>-18.891727039242724</v>
      </c>
      <c r="I36" s="18">
        <f t="shared" si="4"/>
        <v>6.7631183752037742</v>
      </c>
      <c r="J36" s="18">
        <f t="shared" si="4"/>
        <v>-1.1780244166387348</v>
      </c>
      <c r="K36" s="18">
        <f t="shared" si="4"/>
        <v>-33.519203760497916</v>
      </c>
      <c r="L36" s="18">
        <f t="shared" si="4"/>
        <v>12.556187135195287</v>
      </c>
      <c r="M36" s="18">
        <f t="shared" si="4"/>
        <v>-35.814013254610288</v>
      </c>
      <c r="N36" s="18">
        <f t="shared" si="4"/>
        <v>28.012385440594173</v>
      </c>
      <c r="O36" s="18">
        <f t="shared" si="4"/>
        <v>9.5920057121914937</v>
      </c>
    </row>
    <row r="37" spans="1:15" x14ac:dyDescent="0.25">
      <c r="A37">
        <v>36</v>
      </c>
      <c r="B37">
        <v>51.730497183246996</v>
      </c>
      <c r="C37">
        <f t="shared" si="0"/>
        <v>48.154091141701585</v>
      </c>
      <c r="D37" s="18">
        <f t="shared" si="2"/>
        <v>41.198686548088617</v>
      </c>
      <c r="E37" s="18">
        <f t="shared" si="4"/>
        <v>-1.4031188127967908</v>
      </c>
      <c r="F37" s="18">
        <f t="shared" si="4"/>
        <v>2.4751707896019042</v>
      </c>
      <c r="G37" s="18">
        <f t="shared" si="4"/>
        <v>-4.3701582744359513</v>
      </c>
      <c r="H37" s="18">
        <f t="shared" si="4"/>
        <v>7.8987166730864686</v>
      </c>
      <c r="I37" s="18">
        <f t="shared" si="4"/>
        <v>-18.891727039242724</v>
      </c>
      <c r="J37" s="18">
        <f t="shared" si="4"/>
        <v>6.7631183752037742</v>
      </c>
      <c r="K37" s="18">
        <f t="shared" si="4"/>
        <v>-1.1780244166387348</v>
      </c>
      <c r="L37" s="18">
        <f t="shared" si="4"/>
        <v>-33.519203760497916</v>
      </c>
      <c r="M37" s="18">
        <f t="shared" si="4"/>
        <v>12.556187135195287</v>
      </c>
      <c r="N37" s="18">
        <f t="shared" si="4"/>
        <v>-35.814013254610288</v>
      </c>
      <c r="O37" s="18">
        <f t="shared" si="4"/>
        <v>28.012385440594173</v>
      </c>
    </row>
    <row r="38" spans="1:15" x14ac:dyDescent="0.25">
      <c r="B38">
        <f>AVERAGE(B2:B37)</f>
        <v>3.5764060415454111</v>
      </c>
      <c r="C38">
        <f>SUMPRODUCT($C2:$C37,C2:C37)</f>
        <v>13636.816339273908</v>
      </c>
      <c r="D38" s="18">
        <f t="shared" ref="D38:O38" si="5">SUMPRODUCT($C2:$C37,D2:D37)</f>
        <v>-474.06902346061611</v>
      </c>
      <c r="E38" s="18">
        <f t="shared" si="5"/>
        <v>753.36279907322205</v>
      </c>
      <c r="F38" s="18">
        <f t="shared" si="5"/>
        <v>-229.30649040396986</v>
      </c>
      <c r="G38" s="18">
        <f t="shared" si="5"/>
        <v>-2223.6415018940424</v>
      </c>
      <c r="H38" s="18">
        <f t="shared" si="5"/>
        <v>1544.2836096311221</v>
      </c>
      <c r="I38" s="18">
        <f t="shared" si="5"/>
        <v>-2442.5313252907113</v>
      </c>
      <c r="J38" s="18">
        <f t="shared" si="5"/>
        <v>1790.5251261045746</v>
      </c>
      <c r="K38" s="18">
        <f t="shared" si="5"/>
        <v>-4382.6087819461973</v>
      </c>
      <c r="L38" s="18">
        <f t="shared" si="5"/>
        <v>-167.69988735195102</v>
      </c>
      <c r="M38" s="18">
        <f t="shared" si="5"/>
        <v>-1460.419041194159</v>
      </c>
      <c r="N38" s="18">
        <f t="shared" si="5"/>
        <v>733.06204310153248</v>
      </c>
      <c r="O38" s="18">
        <f t="shared" si="5"/>
        <v>5512.8013997480111</v>
      </c>
    </row>
    <row r="40" spans="1:15" x14ac:dyDescent="0.25">
      <c r="C40" s="18" t="s">
        <v>11</v>
      </c>
      <c r="D40" s="18">
        <f t="shared" ref="D40:O40" si="6">D38/$C38</f>
        <v>-3.4763907620820676E-2</v>
      </c>
      <c r="E40" s="18">
        <f t="shared" si="6"/>
        <v>5.5244771237663734E-2</v>
      </c>
      <c r="F40" s="18">
        <f t="shared" si="6"/>
        <v>-1.6815251059997725E-2</v>
      </c>
      <c r="G40" s="18">
        <f t="shared" si="6"/>
        <v>-0.16306163011743255</v>
      </c>
      <c r="H40" s="18">
        <f t="shared" si="6"/>
        <v>0.11324370521758802</v>
      </c>
      <c r="I40" s="18">
        <f t="shared" si="6"/>
        <v>-0.17911301762246684</v>
      </c>
      <c r="J40" s="18">
        <f t="shared" si="6"/>
        <v>0.13130081696179177</v>
      </c>
      <c r="K40" s="18">
        <f t="shared" si="6"/>
        <v>-0.32138064141293182</v>
      </c>
      <c r="L40" s="18">
        <f t="shared" si="6"/>
        <v>-1.2297583481342113E-2</v>
      </c>
      <c r="M40" s="18">
        <f t="shared" si="6"/>
        <v>-0.10709384103004785</v>
      </c>
      <c r="N40" s="18">
        <f t="shared" si="6"/>
        <v>5.3756098554346619E-2</v>
      </c>
      <c r="O40" s="18">
        <f t="shared" si="6"/>
        <v>0.40425868198218617</v>
      </c>
    </row>
    <row r="41" spans="1:15" x14ac:dyDescent="0.25">
      <c r="C41" s="18" t="s">
        <v>26</v>
      </c>
      <c r="D41" s="18">
        <f>2/SQRT(36)</f>
        <v>0.33333333333333331</v>
      </c>
      <c r="E41" s="18">
        <f t="shared" ref="E41:O41" si="7">2/SQRT(36)</f>
        <v>0.33333333333333331</v>
      </c>
      <c r="F41" s="18">
        <f t="shared" si="7"/>
        <v>0.33333333333333331</v>
      </c>
      <c r="G41" s="18">
        <f t="shared" si="7"/>
        <v>0.33333333333333331</v>
      </c>
      <c r="H41" s="18">
        <f t="shared" si="7"/>
        <v>0.33333333333333331</v>
      </c>
      <c r="I41" s="18">
        <f t="shared" si="7"/>
        <v>0.33333333333333331</v>
      </c>
      <c r="J41" s="18">
        <f t="shared" si="7"/>
        <v>0.33333333333333331</v>
      </c>
      <c r="K41" s="18">
        <f t="shared" si="7"/>
        <v>0.33333333333333331</v>
      </c>
      <c r="L41" s="18">
        <f t="shared" si="7"/>
        <v>0.33333333333333331</v>
      </c>
      <c r="M41" s="18">
        <f t="shared" si="7"/>
        <v>0.33333333333333331</v>
      </c>
      <c r="N41" s="18">
        <f t="shared" si="7"/>
        <v>0.33333333333333331</v>
      </c>
      <c r="O41" s="18">
        <f t="shared" si="7"/>
        <v>0.33333333333333331</v>
      </c>
    </row>
    <row r="42" spans="1:15" x14ac:dyDescent="0.25">
      <c r="C42" s="18" t="s">
        <v>27</v>
      </c>
      <c r="D42" s="18">
        <f>-2/SQRT(36)</f>
        <v>-0.33333333333333331</v>
      </c>
      <c r="E42" s="18">
        <f t="shared" ref="E42:N42" si="8">-2/SQRT(36)</f>
        <v>-0.33333333333333331</v>
      </c>
      <c r="F42" s="18">
        <f t="shared" si="8"/>
        <v>-0.33333333333333331</v>
      </c>
      <c r="G42" s="18">
        <f t="shared" si="8"/>
        <v>-0.33333333333333331</v>
      </c>
      <c r="H42" s="18">
        <f t="shared" si="8"/>
        <v>-0.33333333333333331</v>
      </c>
      <c r="I42" s="18">
        <f t="shared" si="8"/>
        <v>-0.33333333333333331</v>
      </c>
      <c r="J42" s="18">
        <f t="shared" si="8"/>
        <v>-0.33333333333333331</v>
      </c>
      <c r="K42" s="18">
        <f t="shared" si="8"/>
        <v>-0.33333333333333331</v>
      </c>
      <c r="L42" s="18">
        <f t="shared" si="8"/>
        <v>-0.33333333333333331</v>
      </c>
      <c r="M42" s="18">
        <f t="shared" si="8"/>
        <v>-0.33333333333333331</v>
      </c>
      <c r="N42" s="18">
        <f t="shared" si="8"/>
        <v>-0.33333333333333331</v>
      </c>
      <c r="O42" s="18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ignoredErrors>
    <ignoredError sqref="D3:O38" emptyCellReference="1"/>
  </ignoredError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H37"/>
  <sheetViews>
    <sheetView workbookViewId="0"/>
  </sheetViews>
  <sheetFormatPr defaultColWidth="11" defaultRowHeight="15.75" x14ac:dyDescent="0.25"/>
  <cols>
    <col min="4" max="4" width="21.5" bestFit="1" customWidth="1"/>
    <col min="5" max="5" width="19.875" bestFit="1" customWidth="1"/>
    <col min="6" max="6" width="19.875" style="10" customWidth="1"/>
    <col min="7" max="7" width="22.125" customWidth="1"/>
    <col min="8" max="8" width="18.125" bestFit="1" customWidth="1"/>
  </cols>
  <sheetData>
    <row r="1" spans="1:8" x14ac:dyDescent="0.25">
      <c r="A1" s="12" t="s">
        <v>1</v>
      </c>
      <c r="B1" s="12" t="s">
        <v>0</v>
      </c>
      <c r="C1" s="12" t="s">
        <v>20</v>
      </c>
      <c r="D1" s="12" t="s">
        <v>21</v>
      </c>
      <c r="E1" s="12" t="s">
        <v>22</v>
      </c>
      <c r="F1" s="12" t="s">
        <v>24</v>
      </c>
      <c r="G1" s="12" t="s">
        <v>29</v>
      </c>
      <c r="H1" s="12" t="s">
        <v>23</v>
      </c>
    </row>
    <row r="2" spans="1:8" x14ac:dyDescent="0.25">
      <c r="A2">
        <v>1</v>
      </c>
      <c r="B2">
        <v>165</v>
      </c>
      <c r="C2" s="11"/>
      <c r="D2" s="11"/>
      <c r="E2" s="2">
        <f>AVERAGE(D14,D26)</f>
        <v>0.98823339924446252</v>
      </c>
      <c r="F2" s="8">
        <f>E2-1</f>
        <v>-1.1766600755537482E-2</v>
      </c>
      <c r="G2" s="2">
        <v>0.98823339924446252</v>
      </c>
      <c r="H2" s="2">
        <f t="shared" ref="H2:H37" si="0">B2/G2</f>
        <v>166.96460585743006</v>
      </c>
    </row>
    <row r="3" spans="1:8" x14ac:dyDescent="0.25">
      <c r="A3">
        <v>2</v>
      </c>
      <c r="B3">
        <v>171</v>
      </c>
      <c r="C3" s="11"/>
      <c r="D3" s="11"/>
      <c r="E3" s="2">
        <f t="shared" ref="E3:E7" si="1">AVERAGE(D15,D27)</f>
        <v>1.0394595142086607</v>
      </c>
      <c r="F3" s="8">
        <f t="shared" ref="F3:F13" si="2">E3-1</f>
        <v>3.9459514208660673E-2</v>
      </c>
      <c r="G3" s="2">
        <v>1.0394595142086607</v>
      </c>
      <c r="H3" s="2">
        <f t="shared" si="0"/>
        <v>164.50857167840934</v>
      </c>
    </row>
    <row r="4" spans="1:8" x14ac:dyDescent="0.25">
      <c r="A4">
        <v>3</v>
      </c>
      <c r="B4">
        <v>147</v>
      </c>
      <c r="C4" s="11"/>
      <c r="D4" s="11"/>
      <c r="E4" s="2">
        <f t="shared" si="1"/>
        <v>0.93293329171244777</v>
      </c>
      <c r="F4" s="8">
        <f t="shared" si="2"/>
        <v>-6.7066708287552235E-2</v>
      </c>
      <c r="G4" s="2">
        <v>0.93293329171244777</v>
      </c>
      <c r="H4" s="2">
        <f t="shared" si="0"/>
        <v>157.56753597052349</v>
      </c>
    </row>
    <row r="5" spans="1:8" x14ac:dyDescent="0.25">
      <c r="A5">
        <v>4</v>
      </c>
      <c r="B5">
        <v>143</v>
      </c>
      <c r="C5" s="11"/>
      <c r="D5" s="11"/>
      <c r="E5" s="2">
        <f t="shared" si="1"/>
        <v>0.91259775591054715</v>
      </c>
      <c r="F5" s="8">
        <f t="shared" si="2"/>
        <v>-8.7402244089452852E-2</v>
      </c>
      <c r="G5" s="2">
        <v>0.91259775591054715</v>
      </c>
      <c r="H5" s="2">
        <f t="shared" si="0"/>
        <v>156.69554201053379</v>
      </c>
    </row>
    <row r="6" spans="1:8" x14ac:dyDescent="0.25">
      <c r="A6">
        <v>5</v>
      </c>
      <c r="B6">
        <v>164</v>
      </c>
      <c r="C6" s="11"/>
      <c r="D6" s="11"/>
      <c r="E6" s="2">
        <f t="shared" si="1"/>
        <v>1.0430106047420362</v>
      </c>
      <c r="F6" s="8">
        <f t="shared" si="2"/>
        <v>4.3010604742036218E-2</v>
      </c>
      <c r="G6" s="2">
        <v>1.0430106047420362</v>
      </c>
      <c r="H6" s="2">
        <f t="shared" si="0"/>
        <v>157.23713570540491</v>
      </c>
    </row>
    <row r="7" spans="1:8" x14ac:dyDescent="0.25">
      <c r="A7">
        <v>6</v>
      </c>
      <c r="B7">
        <v>160</v>
      </c>
      <c r="C7" s="11"/>
      <c r="D7" s="11"/>
      <c r="E7" s="2">
        <f t="shared" si="1"/>
        <v>0.90644245153667458</v>
      </c>
      <c r="F7" s="8">
        <f t="shared" si="2"/>
        <v>-9.3557548463325424E-2</v>
      </c>
      <c r="G7" s="2">
        <v>0.90644245153667458</v>
      </c>
      <c r="H7" s="2">
        <f t="shared" si="0"/>
        <v>176.5142395181901</v>
      </c>
    </row>
    <row r="8" spans="1:8" x14ac:dyDescent="0.25">
      <c r="A8">
        <v>7</v>
      </c>
      <c r="B8">
        <v>152</v>
      </c>
      <c r="C8" s="2">
        <f>(AVERAGE(B3:B14)+AVERAGE(B2:B13))/2</f>
        <v>163.16666666666669</v>
      </c>
      <c r="D8" s="2">
        <f t="shared" ref="D8:D31" si="3">B8/C8</f>
        <v>0.93156281920326856</v>
      </c>
      <c r="E8" s="2">
        <f>AVERAGE(D8,D20)</f>
        <v>0.92083758937691518</v>
      </c>
      <c r="F8" s="8">
        <f t="shared" si="2"/>
        <v>-7.9162410623084822E-2</v>
      </c>
      <c r="G8" s="2">
        <v>0.92083758937691518</v>
      </c>
      <c r="H8" s="2">
        <f t="shared" si="0"/>
        <v>165.06711037160289</v>
      </c>
    </row>
    <row r="9" spans="1:8" x14ac:dyDescent="0.25">
      <c r="A9">
        <v>8</v>
      </c>
      <c r="B9">
        <v>150</v>
      </c>
      <c r="C9" s="2">
        <f t="shared" ref="C9:C31" si="4">(AVERAGE(B4:B15)+AVERAGE(B3:B14))/2</f>
        <v>163.125</v>
      </c>
      <c r="D9" s="2">
        <f t="shared" si="3"/>
        <v>0.91954022988505746</v>
      </c>
      <c r="E9" s="2">
        <f t="shared" ref="E9:E13" si="5">AVERAGE(D9,D21)</f>
        <v>0.92662094367181047</v>
      </c>
      <c r="F9" s="8">
        <f t="shared" si="2"/>
        <v>-7.3379056328189529E-2</v>
      </c>
      <c r="G9" s="2">
        <v>0.92662094367181047</v>
      </c>
      <c r="H9" s="2">
        <f t="shared" si="0"/>
        <v>161.87849090223762</v>
      </c>
    </row>
    <row r="10" spans="1:8" x14ac:dyDescent="0.25">
      <c r="A10">
        <v>9</v>
      </c>
      <c r="B10">
        <v>159</v>
      </c>
      <c r="C10" s="2">
        <f t="shared" si="4"/>
        <v>163.54166666666666</v>
      </c>
      <c r="D10" s="2">
        <f t="shared" si="3"/>
        <v>0.97222929936305735</v>
      </c>
      <c r="E10" s="2">
        <f t="shared" si="5"/>
        <v>0.98849075287229571</v>
      </c>
      <c r="F10" s="8">
        <f t="shared" si="2"/>
        <v>-1.1509247127704292E-2</v>
      </c>
      <c r="G10" s="2">
        <v>0.98849075287229571</v>
      </c>
      <c r="H10" s="2">
        <f t="shared" si="0"/>
        <v>160.85127709893854</v>
      </c>
    </row>
    <row r="11" spans="1:8" x14ac:dyDescent="0.25">
      <c r="A11">
        <v>10</v>
      </c>
      <c r="B11">
        <v>169</v>
      </c>
      <c r="C11" s="2">
        <f t="shared" si="4"/>
        <v>164.33333333333331</v>
      </c>
      <c r="D11" s="2">
        <f t="shared" si="3"/>
        <v>1.028397565922921</v>
      </c>
      <c r="E11" s="2">
        <f t="shared" si="5"/>
        <v>1.0162014531884298</v>
      </c>
      <c r="F11" s="8">
        <f t="shared" si="2"/>
        <v>1.6201453188429804E-2</v>
      </c>
      <c r="G11" s="2">
        <v>1.0162014531884298</v>
      </c>
      <c r="H11" s="2">
        <f t="shared" si="0"/>
        <v>166.30560748535268</v>
      </c>
    </row>
    <row r="12" spans="1:8" x14ac:dyDescent="0.25">
      <c r="A12">
        <v>11</v>
      </c>
      <c r="B12">
        <v>173</v>
      </c>
      <c r="C12" s="2">
        <f t="shared" si="4"/>
        <v>165.5</v>
      </c>
      <c r="D12" s="2">
        <f t="shared" si="3"/>
        <v>1.0453172205438066</v>
      </c>
      <c r="E12" s="2">
        <f t="shared" si="5"/>
        <v>1.0480526558060541</v>
      </c>
      <c r="F12" s="8">
        <f t="shared" si="2"/>
        <v>4.8052655806054112E-2</v>
      </c>
      <c r="G12" s="2">
        <v>1.0480526558060541</v>
      </c>
      <c r="H12" s="2">
        <f t="shared" si="0"/>
        <v>165.06804218433683</v>
      </c>
    </row>
    <row r="13" spans="1:8" x14ac:dyDescent="0.25">
      <c r="A13">
        <v>12</v>
      </c>
      <c r="B13">
        <v>203</v>
      </c>
      <c r="C13" s="2">
        <f t="shared" si="4"/>
        <v>166.54166666666669</v>
      </c>
      <c r="D13" s="2">
        <f t="shared" si="3"/>
        <v>1.2189141856392294</v>
      </c>
      <c r="E13" s="2">
        <f t="shared" si="5"/>
        <v>1.2040049076184032</v>
      </c>
      <c r="F13" s="8">
        <f t="shared" si="2"/>
        <v>0.20400490761840318</v>
      </c>
      <c r="G13" s="2">
        <v>1.2040049076184032</v>
      </c>
      <c r="H13" s="2">
        <f t="shared" si="0"/>
        <v>168.60396391701315</v>
      </c>
    </row>
    <row r="14" spans="1:8" x14ac:dyDescent="0.25">
      <c r="A14">
        <v>13</v>
      </c>
      <c r="B14">
        <v>169</v>
      </c>
      <c r="C14" s="2">
        <f t="shared" si="4"/>
        <v>167</v>
      </c>
      <c r="D14" s="2">
        <f t="shared" si="3"/>
        <v>1.0119760479041917</v>
      </c>
      <c r="G14" s="13">
        <v>0.98823339924446252</v>
      </c>
      <c r="H14" s="2">
        <f t="shared" si="0"/>
        <v>171.01223266609503</v>
      </c>
    </row>
    <row r="15" spans="1:8" x14ac:dyDescent="0.25">
      <c r="A15">
        <v>14</v>
      </c>
      <c r="B15">
        <v>166</v>
      </c>
      <c r="C15" s="2">
        <f t="shared" si="4"/>
        <v>168.20833333333331</v>
      </c>
      <c r="D15" s="2">
        <f t="shared" si="3"/>
        <v>0.98687143918751563</v>
      </c>
      <c r="G15" s="13">
        <v>1.0394595142086607</v>
      </c>
      <c r="H15" s="2">
        <f t="shared" si="0"/>
        <v>159.69837952406988</v>
      </c>
    </row>
    <row r="16" spans="1:8" x14ac:dyDescent="0.25">
      <c r="A16">
        <v>15</v>
      </c>
      <c r="B16">
        <v>162</v>
      </c>
      <c r="C16" s="2">
        <f t="shared" si="4"/>
        <v>170.08333333333331</v>
      </c>
      <c r="D16" s="2">
        <f t="shared" si="3"/>
        <v>0.95247427731504175</v>
      </c>
      <c r="G16" s="13">
        <v>0.93293329171244777</v>
      </c>
      <c r="H16" s="2">
        <f t="shared" si="0"/>
        <v>173.64585596751567</v>
      </c>
    </row>
    <row r="17" spans="1:8" x14ac:dyDescent="0.25">
      <c r="A17">
        <v>16</v>
      </c>
      <c r="B17">
        <v>147</v>
      </c>
      <c r="C17" s="2">
        <f t="shared" si="4"/>
        <v>171.95833333333331</v>
      </c>
      <c r="D17" s="2">
        <f t="shared" si="3"/>
        <v>0.85485825054519027</v>
      </c>
      <c r="G17" s="13">
        <v>0.91259775591054715</v>
      </c>
      <c r="H17" s="2">
        <f t="shared" si="0"/>
        <v>161.07863409474453</v>
      </c>
    </row>
    <row r="18" spans="1:8" x14ac:dyDescent="0.25">
      <c r="A18">
        <v>17</v>
      </c>
      <c r="B18">
        <v>188</v>
      </c>
      <c r="C18" s="2">
        <f t="shared" si="4"/>
        <v>173.875</v>
      </c>
      <c r="D18" s="2">
        <f t="shared" si="3"/>
        <v>1.081236520488857</v>
      </c>
      <c r="G18" s="13">
        <v>1.0430106047420362</v>
      </c>
      <c r="H18" s="2">
        <f t="shared" si="0"/>
        <v>180.24744824765929</v>
      </c>
    </row>
    <row r="19" spans="1:8" x14ac:dyDescent="0.25">
      <c r="A19">
        <v>18</v>
      </c>
      <c r="B19">
        <v>161</v>
      </c>
      <c r="C19" s="2">
        <f t="shared" si="4"/>
        <v>176.08333333333331</v>
      </c>
      <c r="D19" s="2">
        <f t="shared" si="3"/>
        <v>0.91433980123047809</v>
      </c>
      <c r="G19" s="13">
        <v>0.90644245153667458</v>
      </c>
      <c r="H19" s="2">
        <f t="shared" si="0"/>
        <v>177.61745351517879</v>
      </c>
    </row>
    <row r="20" spans="1:8" x14ac:dyDescent="0.25">
      <c r="A20">
        <v>19</v>
      </c>
      <c r="B20">
        <v>162</v>
      </c>
      <c r="C20" s="2">
        <f>(AVERAGE(B15:B26)+AVERAGE(B14:B25))/2</f>
        <v>178</v>
      </c>
      <c r="D20" s="2">
        <f t="shared" si="3"/>
        <v>0.9101123595505618</v>
      </c>
      <c r="G20" s="13">
        <v>0.92083758937691518</v>
      </c>
      <c r="H20" s="2">
        <f t="shared" si="0"/>
        <v>175.92678868552414</v>
      </c>
    </row>
    <row r="21" spans="1:8" x14ac:dyDescent="0.25">
      <c r="A21">
        <v>20</v>
      </c>
      <c r="B21">
        <v>169</v>
      </c>
      <c r="C21" s="2">
        <f t="shared" si="4"/>
        <v>181</v>
      </c>
      <c r="D21" s="2">
        <f t="shared" si="3"/>
        <v>0.93370165745856348</v>
      </c>
      <c r="G21" s="13">
        <v>0.92662094367181047</v>
      </c>
      <c r="H21" s="2">
        <f t="shared" si="0"/>
        <v>182.38309974985438</v>
      </c>
    </row>
    <row r="22" spans="1:8" x14ac:dyDescent="0.25">
      <c r="A22">
        <v>21</v>
      </c>
      <c r="B22">
        <v>185</v>
      </c>
      <c r="C22" s="2">
        <f t="shared" si="4"/>
        <v>184.125</v>
      </c>
      <c r="D22" s="2">
        <f t="shared" si="3"/>
        <v>1.0047522063815342</v>
      </c>
      <c r="G22" s="13">
        <v>0.98849075287229571</v>
      </c>
      <c r="H22" s="2">
        <f t="shared" si="0"/>
        <v>187.15400165599766</v>
      </c>
    </row>
    <row r="23" spans="1:8" x14ac:dyDescent="0.25">
      <c r="A23">
        <v>22</v>
      </c>
      <c r="B23">
        <v>188</v>
      </c>
      <c r="C23" s="2">
        <f t="shared" si="4"/>
        <v>187.25</v>
      </c>
      <c r="D23" s="2">
        <f t="shared" si="3"/>
        <v>1.0040053404539386</v>
      </c>
      <c r="G23" s="13">
        <v>1.0162014531884298</v>
      </c>
      <c r="H23" s="2">
        <f t="shared" si="0"/>
        <v>185.00268761684202</v>
      </c>
    </row>
    <row r="24" spans="1:8" x14ac:dyDescent="0.25">
      <c r="A24">
        <v>23</v>
      </c>
      <c r="B24">
        <v>200</v>
      </c>
      <c r="C24" s="2">
        <f t="shared" si="4"/>
        <v>190.33333333333331</v>
      </c>
      <c r="D24" s="2">
        <f t="shared" si="3"/>
        <v>1.0507880910683014</v>
      </c>
      <c r="G24" s="13">
        <v>1.0480526558060541</v>
      </c>
      <c r="H24" s="2">
        <f t="shared" si="0"/>
        <v>190.83010657148768</v>
      </c>
    </row>
    <row r="25" spans="1:8" x14ac:dyDescent="0.25">
      <c r="A25">
        <v>24</v>
      </c>
      <c r="B25">
        <v>229</v>
      </c>
      <c r="C25" s="2">
        <f t="shared" si="4"/>
        <v>192.58333333333331</v>
      </c>
      <c r="D25" s="2">
        <f t="shared" si="3"/>
        <v>1.189095629597577</v>
      </c>
      <c r="G25" s="13">
        <v>1.2040049076184032</v>
      </c>
      <c r="H25" s="2">
        <f t="shared" si="0"/>
        <v>190.19856028076853</v>
      </c>
    </row>
    <row r="26" spans="1:8" x14ac:dyDescent="0.25">
      <c r="A26">
        <v>25</v>
      </c>
      <c r="B26">
        <v>189</v>
      </c>
      <c r="C26" s="2">
        <f t="shared" si="4"/>
        <v>195.95833333333331</v>
      </c>
      <c r="D26" s="2">
        <f t="shared" si="3"/>
        <v>0.96449075058473321</v>
      </c>
      <c r="G26" s="13">
        <v>0.98823339924446252</v>
      </c>
      <c r="H26" s="2">
        <f t="shared" si="0"/>
        <v>191.25036670941989</v>
      </c>
    </row>
    <row r="27" spans="1:8" x14ac:dyDescent="0.25">
      <c r="A27">
        <v>26</v>
      </c>
      <c r="B27">
        <v>218</v>
      </c>
      <c r="C27" s="2">
        <f t="shared" si="4"/>
        <v>199.625</v>
      </c>
      <c r="D27" s="2">
        <f t="shared" si="3"/>
        <v>1.0920475892298058</v>
      </c>
      <c r="G27" s="13">
        <v>1.0394595142086607</v>
      </c>
      <c r="H27" s="2">
        <f t="shared" si="0"/>
        <v>209.72437792920022</v>
      </c>
    </row>
    <row r="28" spans="1:8" x14ac:dyDescent="0.25">
      <c r="A28">
        <v>27</v>
      </c>
      <c r="B28">
        <v>185</v>
      </c>
      <c r="C28" s="2">
        <f t="shared" si="4"/>
        <v>202.54166666666669</v>
      </c>
      <c r="D28" s="2">
        <f t="shared" si="3"/>
        <v>0.91339230610985389</v>
      </c>
      <c r="G28" s="13">
        <v>0.93293329171244777</v>
      </c>
      <c r="H28" s="2">
        <f t="shared" si="0"/>
        <v>198.29927996290371</v>
      </c>
    </row>
    <row r="29" spans="1:8" x14ac:dyDescent="0.25">
      <c r="A29">
        <v>28</v>
      </c>
      <c r="B29">
        <v>199</v>
      </c>
      <c r="C29" s="2">
        <f t="shared" si="4"/>
        <v>205.08333333333334</v>
      </c>
      <c r="D29" s="2">
        <f t="shared" si="3"/>
        <v>0.97033726127590403</v>
      </c>
      <c r="G29" s="13">
        <v>0.91259775591054715</v>
      </c>
      <c r="H29" s="2">
        <f t="shared" si="0"/>
        <v>218.0588311894841</v>
      </c>
    </row>
    <row r="30" spans="1:8" x14ac:dyDescent="0.25">
      <c r="A30">
        <v>29</v>
      </c>
      <c r="B30">
        <v>210</v>
      </c>
      <c r="C30" s="2">
        <f t="shared" si="4"/>
        <v>209</v>
      </c>
      <c r="D30" s="2">
        <f t="shared" si="3"/>
        <v>1.0047846889952152</v>
      </c>
      <c r="G30" s="13">
        <v>1.0430106047420362</v>
      </c>
      <c r="H30" s="2">
        <f t="shared" si="0"/>
        <v>201.34023474472582</v>
      </c>
    </row>
    <row r="31" spans="1:8" x14ac:dyDescent="0.25">
      <c r="A31">
        <v>30</v>
      </c>
      <c r="B31">
        <v>193</v>
      </c>
      <c r="C31" s="2">
        <f t="shared" si="4"/>
        <v>214.79166666666666</v>
      </c>
      <c r="D31" s="2">
        <f t="shared" si="3"/>
        <v>0.89854510184287106</v>
      </c>
      <c r="G31" s="13">
        <v>0.90644245153667458</v>
      </c>
      <c r="H31" s="2">
        <f t="shared" si="0"/>
        <v>212.92030141881682</v>
      </c>
    </row>
    <row r="32" spans="1:8" x14ac:dyDescent="0.25">
      <c r="A32">
        <v>31</v>
      </c>
      <c r="B32">
        <v>211</v>
      </c>
      <c r="C32" s="11"/>
      <c r="D32" s="11"/>
      <c r="G32" s="13">
        <v>0.92083758937691518</v>
      </c>
      <c r="H32" s="2">
        <f t="shared" si="0"/>
        <v>229.13921242373823</v>
      </c>
    </row>
    <row r="33" spans="1:8" x14ac:dyDescent="0.25">
      <c r="A33">
        <v>32</v>
      </c>
      <c r="B33">
        <v>208</v>
      </c>
      <c r="C33" s="11"/>
      <c r="D33" s="11"/>
      <c r="G33" s="13">
        <v>0.92662094367181047</v>
      </c>
      <c r="H33" s="2">
        <f t="shared" si="0"/>
        <v>224.47150738443617</v>
      </c>
    </row>
    <row r="34" spans="1:8" x14ac:dyDescent="0.25">
      <c r="A34">
        <v>33</v>
      </c>
      <c r="B34">
        <v>216</v>
      </c>
      <c r="C34" s="11"/>
      <c r="D34" s="11"/>
      <c r="G34" s="13">
        <v>0.98849075287229571</v>
      </c>
      <c r="H34" s="2">
        <f t="shared" si="0"/>
        <v>218.51494247402968</v>
      </c>
    </row>
    <row r="35" spans="1:8" x14ac:dyDescent="0.25">
      <c r="A35">
        <v>34</v>
      </c>
      <c r="B35">
        <v>218</v>
      </c>
      <c r="C35" s="11"/>
      <c r="D35" s="11"/>
      <c r="G35" s="13">
        <v>1.0162014531884298</v>
      </c>
      <c r="H35" s="2">
        <f t="shared" si="0"/>
        <v>214.5243930876147</v>
      </c>
    </row>
    <row r="36" spans="1:8" x14ac:dyDescent="0.25">
      <c r="A36">
        <v>35</v>
      </c>
      <c r="B36">
        <v>264</v>
      </c>
      <c r="C36" s="11"/>
      <c r="D36" s="11"/>
      <c r="G36" s="13">
        <v>1.0480526558060541</v>
      </c>
      <c r="H36" s="2">
        <f t="shared" si="0"/>
        <v>251.89574067436374</v>
      </c>
    </row>
    <row r="37" spans="1:8" x14ac:dyDescent="0.25">
      <c r="A37">
        <v>36</v>
      </c>
      <c r="B37">
        <v>304</v>
      </c>
      <c r="C37" s="11"/>
      <c r="D37" s="11"/>
      <c r="G37" s="13">
        <v>1.2040049076184032</v>
      </c>
      <c r="H37" s="2">
        <f t="shared" si="0"/>
        <v>252.49066517621674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64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cols>
    <col min="6" max="8" width="10.875" customWidth="1"/>
  </cols>
  <sheetData>
    <row r="1" spans="1:8" ht="63" x14ac:dyDescent="0.25">
      <c r="A1" s="1" t="s">
        <v>14</v>
      </c>
      <c r="B1" s="1"/>
      <c r="C1" s="19" t="s">
        <v>15</v>
      </c>
      <c r="D1" s="19" t="s">
        <v>16</v>
      </c>
      <c r="E1" s="19" t="s">
        <v>18</v>
      </c>
      <c r="G1" s="19" t="s">
        <v>8</v>
      </c>
      <c r="H1" s="19" t="s">
        <v>9</v>
      </c>
    </row>
    <row r="2" spans="1:8" x14ac:dyDescent="0.25">
      <c r="A2">
        <v>36</v>
      </c>
      <c r="C2" s="18">
        <v>0.30700354694575144</v>
      </c>
      <c r="D2" s="18">
        <v>0.22891433654683094</v>
      </c>
      <c r="E2" s="18">
        <v>0</v>
      </c>
      <c r="G2" s="18">
        <f>SUM(H17:H52)</f>
        <v>3550.6645037775065</v>
      </c>
      <c r="H2" s="18">
        <f>SQRT(G2/(36-3))</f>
        <v>10.372844067750361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28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 s="18">
        <f>C16+D16+C$2*G17/E5</f>
        <v>152.87244962574835</v>
      </c>
      <c r="D17" s="18">
        <f>D16+D$2*C$2*G17/E5</f>
        <v>3.6386006716734727</v>
      </c>
      <c r="E17" s="22">
        <f>E5+E$2*(1-C$2)*G17/(C16+D16)</f>
        <v>0.98823339924446252</v>
      </c>
      <c r="F17" s="18">
        <f>(C16+D16)*E5</f>
        <v>144.90416921451589</v>
      </c>
      <c r="G17" s="18">
        <f>B17-F17</f>
        <v>20.095830785484111</v>
      </c>
      <c r="H17" s="18">
        <f>G17^2</f>
        <v>403.84241495881093</v>
      </c>
    </row>
    <row r="18" spans="1:8" x14ac:dyDescent="0.25">
      <c r="A18">
        <v>2</v>
      </c>
      <c r="B18">
        <v>171</v>
      </c>
      <c r="C18" s="18">
        <f t="shared" ref="C18:C52" si="0">C17+D17+C$2*G18/E6</f>
        <v>158.96631772815948</v>
      </c>
      <c r="D18" s="18">
        <f t="shared" ref="D18:D52" si="1">D17+D$2*C$2*G18/E6</f>
        <v>4.2006465866258225</v>
      </c>
      <c r="E18" s="22">
        <f t="shared" ref="E18:E51" si="2">E6+E$2*(1-C$2)*G18/(C17+D17)</f>
        <v>1.0394595142086607</v>
      </c>
      <c r="F18" s="18">
        <f t="shared" ref="F18:F52" si="3">(C17+D17)*E6</f>
        <v>162.68690031044537</v>
      </c>
      <c r="G18" s="18">
        <f t="shared" ref="G18:G52" si="4">B18-F18</f>
        <v>8.3130996895546332</v>
      </c>
      <c r="H18" s="18">
        <f t="shared" ref="H18:H52" si="5">G18^2</f>
        <v>69.10762644847334</v>
      </c>
    </row>
    <row r="19" spans="1:8" x14ac:dyDescent="0.25">
      <c r="A19">
        <v>3</v>
      </c>
      <c r="B19">
        <v>147</v>
      </c>
      <c r="C19" s="18">
        <f t="shared" si="0"/>
        <v>161.44791995222835</v>
      </c>
      <c r="D19" s="18">
        <f t="shared" si="1"/>
        <v>3.8071326868765278</v>
      </c>
      <c r="E19" s="22">
        <f t="shared" si="2"/>
        <v>0.93293329171244777</v>
      </c>
      <c r="F19" s="18">
        <f t="shared" si="3"/>
        <v>152.22389311692015</v>
      </c>
      <c r="G19" s="18">
        <f t="shared" si="4"/>
        <v>-5.2238931169201521</v>
      </c>
      <c r="H19" s="18">
        <f t="shared" si="5"/>
        <v>27.289059297005743</v>
      </c>
    </row>
    <row r="20" spans="1:8" x14ac:dyDescent="0.25">
      <c r="A20">
        <v>4</v>
      </c>
      <c r="B20">
        <v>143</v>
      </c>
      <c r="C20" s="18">
        <f t="shared" si="0"/>
        <v>162.62725251601367</v>
      </c>
      <c r="D20" s="18">
        <f t="shared" si="1"/>
        <v>3.2055915651214302</v>
      </c>
      <c r="E20" s="22">
        <f t="shared" si="2"/>
        <v>0.91259775591054715</v>
      </c>
      <c r="F20" s="18">
        <f t="shared" si="3"/>
        <v>150.81139019132644</v>
      </c>
      <c r="G20" s="18">
        <f t="shared" si="4"/>
        <v>-7.8113901913264385</v>
      </c>
      <c r="H20" s="18">
        <f t="shared" si="5"/>
        <v>61.017816721150893</v>
      </c>
    </row>
    <row r="21" spans="1:8" x14ac:dyDescent="0.25">
      <c r="A21">
        <v>5</v>
      </c>
      <c r="B21">
        <v>164</v>
      </c>
      <c r="C21" s="18">
        <f t="shared" si="0"/>
        <v>163.19393112127463</v>
      </c>
      <c r="D21" s="18">
        <f t="shared" si="1"/>
        <v>2.6015065557101362</v>
      </c>
      <c r="E21" s="22">
        <f t="shared" si="2"/>
        <v>1.0430106047420362</v>
      </c>
      <c r="F21" s="18">
        <f t="shared" si="3"/>
        <v>172.96541499115654</v>
      </c>
      <c r="G21" s="18">
        <f t="shared" si="4"/>
        <v>-8.9654149911565355</v>
      </c>
      <c r="H21" s="18">
        <f t="shared" si="5"/>
        <v>80.378665963654342</v>
      </c>
    </row>
    <row r="22" spans="1:8" x14ac:dyDescent="0.25">
      <c r="A22">
        <v>6</v>
      </c>
      <c r="B22">
        <v>160</v>
      </c>
      <c r="C22" s="18">
        <f t="shared" si="0"/>
        <v>169.08614786124346</v>
      </c>
      <c r="D22" s="18">
        <f t="shared" si="1"/>
        <v>3.3547972943076139</v>
      </c>
      <c r="E22" s="22">
        <f t="shared" si="2"/>
        <v>0.90644245153667458</v>
      </c>
      <c r="F22" s="18">
        <f t="shared" si="3"/>
        <v>150.28402298152201</v>
      </c>
      <c r="G22" s="18">
        <f t="shared" si="4"/>
        <v>9.7159770184779859</v>
      </c>
      <c r="H22" s="18">
        <f t="shared" si="5"/>
        <v>94.400209423592372</v>
      </c>
    </row>
    <row r="23" spans="1:8" x14ac:dyDescent="0.25">
      <c r="A23">
        <v>7</v>
      </c>
      <c r="B23">
        <v>152</v>
      </c>
      <c r="C23" s="18">
        <f t="shared" si="0"/>
        <v>170.17715172228702</v>
      </c>
      <c r="D23" s="18">
        <f t="shared" si="1"/>
        <v>2.8365825224529009</v>
      </c>
      <c r="E23" s="22">
        <f t="shared" si="2"/>
        <v>0.92083758937691518</v>
      </c>
      <c r="F23" s="18">
        <f t="shared" si="3"/>
        <v>158.7901042469145</v>
      </c>
      <c r="G23" s="18">
        <f t="shared" si="4"/>
        <v>-6.7901042469144954</v>
      </c>
      <c r="H23" s="18">
        <f t="shared" si="5"/>
        <v>46.105515683966267</v>
      </c>
    </row>
    <row r="24" spans="1:8" x14ac:dyDescent="0.25">
      <c r="A24">
        <v>8</v>
      </c>
      <c r="B24">
        <v>150</v>
      </c>
      <c r="C24" s="18">
        <f t="shared" si="0"/>
        <v>169.59517504248765</v>
      </c>
      <c r="D24" s="18">
        <f t="shared" si="1"/>
        <v>2.0540253107232558</v>
      </c>
      <c r="E24" s="22">
        <f t="shared" si="2"/>
        <v>0.92662094367181047</v>
      </c>
      <c r="F24" s="18">
        <f t="shared" si="3"/>
        <v>160.31814969404476</v>
      </c>
      <c r="G24" s="18">
        <f t="shared" si="4"/>
        <v>-10.318149694044763</v>
      </c>
      <c r="H24" s="18">
        <f t="shared" si="5"/>
        <v>106.46421310871604</v>
      </c>
    </row>
    <row r="25" spans="1:8" x14ac:dyDescent="0.25">
      <c r="A25">
        <v>9</v>
      </c>
      <c r="B25">
        <v>159</v>
      </c>
      <c r="C25" s="18">
        <f t="shared" si="0"/>
        <v>168.33419961450127</v>
      </c>
      <c r="D25" s="18">
        <f t="shared" si="1"/>
        <v>1.2951741159692856</v>
      </c>
      <c r="E25" s="22">
        <f t="shared" si="2"/>
        <v>0.98849075287229571</v>
      </c>
      <c r="F25" s="18">
        <f t="shared" si="3"/>
        <v>169.67364728707298</v>
      </c>
      <c r="G25" s="18">
        <f t="shared" si="4"/>
        <v>-10.673647287072981</v>
      </c>
      <c r="H25" s="18">
        <f t="shared" si="5"/>
        <v>113.92674640884042</v>
      </c>
    </row>
    <row r="26" spans="1:8" x14ac:dyDescent="0.25">
      <c r="A26">
        <v>10</v>
      </c>
      <c r="B26">
        <v>169</v>
      </c>
      <c r="C26" s="18">
        <f t="shared" si="0"/>
        <v>168.60896570400081</v>
      </c>
      <c r="D26" s="18">
        <f t="shared" si="1"/>
        <v>1.0615880895829026</v>
      </c>
      <c r="E26" s="22">
        <f t="shared" si="2"/>
        <v>1.0162014531884298</v>
      </c>
      <c r="F26" s="18">
        <f t="shared" si="3"/>
        <v>172.37761608834742</v>
      </c>
      <c r="G26" s="18">
        <f t="shared" si="4"/>
        <v>-3.3776160883474233</v>
      </c>
      <c r="H26" s="18">
        <f t="shared" si="5"/>
        <v>11.408290440263348</v>
      </c>
    </row>
    <row r="27" spans="1:8" x14ac:dyDescent="0.25">
      <c r="A27">
        <v>11</v>
      </c>
      <c r="B27">
        <v>173</v>
      </c>
      <c r="C27" s="18">
        <f t="shared" si="0"/>
        <v>168.25756640468592</v>
      </c>
      <c r="D27" s="18">
        <f t="shared" si="1"/>
        <v>0.7381350189043272</v>
      </c>
      <c r="E27" s="22">
        <f t="shared" si="2"/>
        <v>1.0480526558060541</v>
      </c>
      <c r="F27" s="18">
        <f t="shared" si="3"/>
        <v>177.82367451544937</v>
      </c>
      <c r="G27" s="18">
        <f t="shared" si="4"/>
        <v>-4.823674515449369</v>
      </c>
      <c r="H27" s="18">
        <f t="shared" si="5"/>
        <v>23.267835830995704</v>
      </c>
    </row>
    <row r="28" spans="1:8" x14ac:dyDescent="0.25">
      <c r="A28">
        <v>12</v>
      </c>
      <c r="B28">
        <v>203</v>
      </c>
      <c r="C28" s="18">
        <f t="shared" si="0"/>
        <v>168.87543661959938</v>
      </c>
      <c r="D28" s="18">
        <f t="shared" si="1"/>
        <v>0.71060468108882624</v>
      </c>
      <c r="E28" s="22">
        <f t="shared" si="2"/>
        <v>1.2040049076184032</v>
      </c>
      <c r="F28" s="18">
        <f t="shared" si="3"/>
        <v>203.47165388041702</v>
      </c>
      <c r="G28" s="18">
        <f t="shared" si="4"/>
        <v>-0.47165388041702272</v>
      </c>
      <c r="H28" s="18">
        <f t="shared" si="5"/>
        <v>0.22245738291243516</v>
      </c>
    </row>
    <row r="29" spans="1:8" x14ac:dyDescent="0.25">
      <c r="A29">
        <v>13</v>
      </c>
      <c r="B29">
        <v>169</v>
      </c>
      <c r="C29" s="18">
        <f t="shared" si="0"/>
        <v>170.02388710849149</v>
      </c>
      <c r="D29" s="18">
        <f t="shared" si="1"/>
        <v>0.81083386369192878</v>
      </c>
      <c r="E29" s="22">
        <f t="shared" si="2"/>
        <v>0.98823339924446252</v>
      </c>
      <c r="F29" s="18">
        <f t="shared" si="3"/>
        <v>167.59059005899093</v>
      </c>
      <c r="G29" s="18">
        <f t="shared" si="4"/>
        <v>1.4094099410090735</v>
      </c>
      <c r="H29" s="18">
        <f t="shared" si="5"/>
        <v>1.9864363818152</v>
      </c>
    </row>
    <row r="30" spans="1:8" x14ac:dyDescent="0.25">
      <c r="A30">
        <v>14</v>
      </c>
      <c r="B30">
        <v>166</v>
      </c>
      <c r="C30" s="18">
        <f t="shared" si="0"/>
        <v>167.41582464761356</v>
      </c>
      <c r="D30" s="18">
        <f t="shared" si="1"/>
        <v>2.8199479830623875E-2</v>
      </c>
      <c r="E30" s="22">
        <f t="shared" si="2"/>
        <v>1.0394595142086607</v>
      </c>
      <c r="F30" s="18">
        <f t="shared" si="3"/>
        <v>177.57577607171788</v>
      </c>
      <c r="G30" s="18">
        <f t="shared" si="4"/>
        <v>-11.575776071717883</v>
      </c>
      <c r="H30" s="18">
        <f t="shared" si="5"/>
        <v>133.99859166255629</v>
      </c>
    </row>
    <row r="31" spans="1:8" x14ac:dyDescent="0.25">
      <c r="A31">
        <v>15</v>
      </c>
      <c r="B31">
        <v>162</v>
      </c>
      <c r="C31" s="18">
        <f t="shared" si="0"/>
        <v>169.34800849990722</v>
      </c>
      <c r="D31" s="18">
        <f t="shared" si="1"/>
        <v>0.4640487992485372</v>
      </c>
      <c r="E31" s="22">
        <f t="shared" si="2"/>
        <v>0.93293329171244777</v>
      </c>
      <c r="F31" s="18">
        <f t="shared" si="3"/>
        <v>156.21410460679502</v>
      </c>
      <c r="G31" s="18">
        <f t="shared" si="4"/>
        <v>5.7858953932049815</v>
      </c>
      <c r="H31" s="18">
        <f t="shared" si="5"/>
        <v>33.476585501110627</v>
      </c>
    </row>
    <row r="32" spans="1:8" x14ac:dyDescent="0.25">
      <c r="A32">
        <v>16</v>
      </c>
      <c r="B32">
        <v>147</v>
      </c>
      <c r="C32" s="18">
        <f t="shared" si="0"/>
        <v>167.13086539842317</v>
      </c>
      <c r="D32" s="18">
        <f t="shared" si="1"/>
        <v>-0.14971446586239862</v>
      </c>
      <c r="E32" s="22">
        <f t="shared" si="2"/>
        <v>0.91259775591054715</v>
      </c>
      <c r="F32" s="18">
        <f t="shared" si="3"/>
        <v>154.9701024177628</v>
      </c>
      <c r="G32" s="18">
        <f t="shared" si="4"/>
        <v>-7.9701024177628028</v>
      </c>
      <c r="H32" s="18">
        <f t="shared" si="5"/>
        <v>63.522532549628473</v>
      </c>
    </row>
    <row r="33" spans="1:8" x14ac:dyDescent="0.25">
      <c r="A33">
        <v>17</v>
      </c>
      <c r="B33">
        <v>188</v>
      </c>
      <c r="C33" s="18">
        <f t="shared" si="0"/>
        <v>171.05395126313292</v>
      </c>
      <c r="D33" s="18">
        <f t="shared" si="1"/>
        <v>0.78260791969823762</v>
      </c>
      <c r="E33" s="22">
        <f t="shared" si="2"/>
        <v>1.0430106047420362</v>
      </c>
      <c r="F33" s="18">
        <f t="shared" si="3"/>
        <v>174.16311121469144</v>
      </c>
      <c r="G33" s="18">
        <f t="shared" si="4"/>
        <v>13.83688878530856</v>
      </c>
      <c r="H33" s="18">
        <f t="shared" si="5"/>
        <v>191.45949125699778</v>
      </c>
    </row>
    <row r="34" spans="1:8" x14ac:dyDescent="0.25">
      <c r="A34">
        <v>18</v>
      </c>
      <c r="B34">
        <v>161</v>
      </c>
      <c r="C34" s="18">
        <f t="shared" si="0"/>
        <v>173.61131424738048</v>
      </c>
      <c r="D34" s="18">
        <f t="shared" si="1"/>
        <v>1.1888747978326726</v>
      </c>
      <c r="E34" s="22">
        <f t="shared" si="2"/>
        <v>0.90644245153667458</v>
      </c>
      <c r="F34" s="18">
        <f t="shared" si="3"/>
        <v>155.75995196931234</v>
      </c>
      <c r="G34" s="18">
        <f t="shared" si="4"/>
        <v>5.2400480306876602</v>
      </c>
      <c r="H34" s="18">
        <f t="shared" si="5"/>
        <v>27.458103363913626</v>
      </c>
    </row>
    <row r="35" spans="1:8" x14ac:dyDescent="0.25">
      <c r="A35">
        <v>19</v>
      </c>
      <c r="B35">
        <v>162</v>
      </c>
      <c r="C35" s="18">
        <f t="shared" si="0"/>
        <v>175.14605913077645</v>
      </c>
      <c r="D35" s="18">
        <f t="shared" si="1"/>
        <v>1.268049419000786</v>
      </c>
      <c r="E35" s="22">
        <f t="shared" si="2"/>
        <v>0.92083758937691518</v>
      </c>
      <c r="F35" s="18">
        <f t="shared" si="3"/>
        <v>160.96258470302314</v>
      </c>
      <c r="G35" s="18">
        <f t="shared" si="4"/>
        <v>1.0374152969768602</v>
      </c>
      <c r="H35" s="18">
        <f t="shared" si="5"/>
        <v>1.0762304984015871</v>
      </c>
    </row>
    <row r="36" spans="1:8" x14ac:dyDescent="0.25">
      <c r="A36">
        <v>20</v>
      </c>
      <c r="B36">
        <v>169</v>
      </c>
      <c r="C36" s="18">
        <f t="shared" si="0"/>
        <v>178.24661001988889</v>
      </c>
      <c r="D36" s="18">
        <f t="shared" si="1"/>
        <v>1.6875352772524885</v>
      </c>
      <c r="E36" s="22">
        <f t="shared" si="2"/>
        <v>0.92662094367181047</v>
      </c>
      <c r="F36" s="18">
        <f t="shared" si="3"/>
        <v>163.46900774141579</v>
      </c>
      <c r="G36" s="18">
        <f t="shared" si="4"/>
        <v>5.530992258584206</v>
      </c>
      <c r="H36" s="18">
        <f t="shared" si="5"/>
        <v>30.591875364518415</v>
      </c>
    </row>
    <row r="37" spans="1:8" x14ac:dyDescent="0.25">
      <c r="A37">
        <v>21</v>
      </c>
      <c r="B37">
        <v>185</v>
      </c>
      <c r="C37" s="18">
        <f t="shared" si="0"/>
        <v>182.1506668077491</v>
      </c>
      <c r="D37" s="18">
        <f t="shared" si="1"/>
        <v>2.1949288282950334</v>
      </c>
      <c r="E37" s="22">
        <f t="shared" si="2"/>
        <v>0.98849075287229571</v>
      </c>
      <c r="F37" s="18">
        <f t="shared" si="3"/>
        <v>177.86323875220432</v>
      </c>
      <c r="G37" s="18">
        <f t="shared" si="4"/>
        <v>7.1367612477956754</v>
      </c>
      <c r="H37" s="18">
        <f t="shared" si="5"/>
        <v>50.933361108038085</v>
      </c>
    </row>
    <row r="38" spans="1:8" x14ac:dyDescent="0.25">
      <c r="A38">
        <v>22</v>
      </c>
      <c r="B38">
        <v>188</v>
      </c>
      <c r="C38" s="18">
        <f t="shared" si="0"/>
        <v>184.54732520481872</v>
      </c>
      <c r="D38" s="18">
        <f t="shared" si="1"/>
        <v>2.24110761869294</v>
      </c>
      <c r="E38" s="22">
        <f t="shared" si="2"/>
        <v>1.0162014531884298</v>
      </c>
      <c r="F38" s="18">
        <f t="shared" si="3"/>
        <v>187.33226217423473</v>
      </c>
      <c r="G38" s="18">
        <f t="shared" si="4"/>
        <v>0.66773782576527196</v>
      </c>
      <c r="H38" s="18">
        <f t="shared" si="5"/>
        <v>0.44587380395773268</v>
      </c>
    </row>
    <row r="39" spans="1:8" x14ac:dyDescent="0.25">
      <c r="A39">
        <v>23</v>
      </c>
      <c r="B39">
        <v>200</v>
      </c>
      <c r="C39" s="18">
        <f t="shared" si="0"/>
        <v>188.02924099973782</v>
      </c>
      <c r="D39" s="18">
        <f t="shared" si="1"/>
        <v>2.5251463991356347</v>
      </c>
      <c r="E39" s="22">
        <f t="shared" si="2"/>
        <v>1.0480526558060541</v>
      </c>
      <c r="F39" s="18">
        <f t="shared" si="3"/>
        <v>195.76411309453215</v>
      </c>
      <c r="G39" s="18">
        <f t="shared" si="4"/>
        <v>4.2358869054678507</v>
      </c>
      <c r="H39" s="18">
        <f t="shared" si="5"/>
        <v>17.942737875914005</v>
      </c>
    </row>
    <row r="40" spans="1:8" x14ac:dyDescent="0.25">
      <c r="A40">
        <v>24</v>
      </c>
      <c r="B40">
        <v>229</v>
      </c>
      <c r="C40" s="18">
        <f t="shared" si="0"/>
        <v>190.44514721151575</v>
      </c>
      <c r="D40" s="18">
        <f t="shared" si="1"/>
        <v>2.5001397541223969</v>
      </c>
      <c r="E40" s="22">
        <f t="shared" si="2"/>
        <v>1.2040049076184032</v>
      </c>
      <c r="F40" s="18">
        <f t="shared" si="3"/>
        <v>229.42841759646203</v>
      </c>
      <c r="G40" s="18">
        <f t="shared" si="4"/>
        <v>-0.42841759646202604</v>
      </c>
      <c r="H40" s="18">
        <f t="shared" si="5"/>
        <v>0.18354163695829939</v>
      </c>
    </row>
    <row r="41" spans="1:8" x14ac:dyDescent="0.25">
      <c r="A41">
        <v>25</v>
      </c>
      <c r="B41">
        <v>189</v>
      </c>
      <c r="C41" s="18">
        <f t="shared" si="0"/>
        <v>192.42494043518892</v>
      </c>
      <c r="D41" s="18">
        <f t="shared" si="1"/>
        <v>2.3810249733301712</v>
      </c>
      <c r="E41" s="22">
        <f t="shared" si="2"/>
        <v>0.98823339924446252</v>
      </c>
      <c r="F41" s="18">
        <f t="shared" si="3"/>
        <v>190.67497680625087</v>
      </c>
      <c r="G41" s="18">
        <f t="shared" si="4"/>
        <v>-1.6749768062508679</v>
      </c>
      <c r="H41" s="18">
        <f t="shared" si="5"/>
        <v>2.8055473014783572</v>
      </c>
    </row>
    <row r="42" spans="1:8" x14ac:dyDescent="0.25">
      <c r="A42">
        <v>26</v>
      </c>
      <c r="B42">
        <v>218</v>
      </c>
      <c r="C42" s="18">
        <f t="shared" si="0"/>
        <v>199.38597096716811</v>
      </c>
      <c r="D42" s="18">
        <f t="shared" si="1"/>
        <v>3.4294539071691079</v>
      </c>
      <c r="E42" s="22">
        <f t="shared" si="2"/>
        <v>1.0394595142086607</v>
      </c>
      <c r="F42" s="18">
        <f t="shared" si="3"/>
        <v>202.4929141684884</v>
      </c>
      <c r="G42" s="18">
        <f t="shared" si="4"/>
        <v>15.507085831511603</v>
      </c>
      <c r="H42" s="18">
        <f t="shared" si="5"/>
        <v>240.46971098586789</v>
      </c>
    </row>
    <row r="43" spans="1:8" x14ac:dyDescent="0.25">
      <c r="A43">
        <v>27</v>
      </c>
      <c r="B43">
        <v>185</v>
      </c>
      <c r="C43" s="18">
        <f t="shared" si="0"/>
        <v>201.42895236800612</v>
      </c>
      <c r="D43" s="18">
        <f t="shared" si="1"/>
        <v>3.1120704732419036</v>
      </c>
      <c r="E43" s="22">
        <f t="shared" si="2"/>
        <v>0.93293329171244777</v>
      </c>
      <c r="F43" s="18">
        <f t="shared" si="3"/>
        <v>189.21326193807408</v>
      </c>
      <c r="G43" s="18">
        <f t="shared" si="4"/>
        <v>-4.2132619380740834</v>
      </c>
      <c r="H43" s="18">
        <f t="shared" si="5"/>
        <v>17.751576158823781</v>
      </c>
    </row>
    <row r="44" spans="1:8" x14ac:dyDescent="0.25">
      <c r="A44">
        <v>28</v>
      </c>
      <c r="B44">
        <v>199</v>
      </c>
      <c r="C44" s="18">
        <f t="shared" si="0"/>
        <v>208.69103795108938</v>
      </c>
      <c r="D44" s="18">
        <f t="shared" si="1"/>
        <v>4.0620684287705604</v>
      </c>
      <c r="E44" s="22">
        <f t="shared" si="2"/>
        <v>0.91259775591054715</v>
      </c>
      <c r="F44" s="18">
        <f t="shared" si="3"/>
        <v>186.66367843657093</v>
      </c>
      <c r="G44" s="18">
        <f t="shared" si="4"/>
        <v>12.336321563429067</v>
      </c>
      <c r="H44" s="18">
        <f t="shared" si="5"/>
        <v>152.18482971632497</v>
      </c>
    </row>
    <row r="45" spans="1:8" x14ac:dyDescent="0.25">
      <c r="A45">
        <v>29</v>
      </c>
      <c r="B45">
        <v>210</v>
      </c>
      <c r="C45" s="18">
        <f t="shared" si="0"/>
        <v>209.24931430703722</v>
      </c>
      <c r="D45" s="18">
        <f t="shared" si="1"/>
        <v>3.2600001910222973</v>
      </c>
      <c r="E45" s="22">
        <f t="shared" si="2"/>
        <v>1.0430106047420362</v>
      </c>
      <c r="F45" s="18">
        <f t="shared" si="3"/>
        <v>221.90374614600449</v>
      </c>
      <c r="G45" s="18">
        <f t="shared" si="4"/>
        <v>-11.903746146004494</v>
      </c>
      <c r="H45" s="18">
        <f t="shared" si="5"/>
        <v>141.69917230851684</v>
      </c>
    </row>
    <row r="46" spans="1:8" x14ac:dyDescent="0.25">
      <c r="A46">
        <v>30</v>
      </c>
      <c r="B46">
        <v>193</v>
      </c>
      <c r="C46" s="18">
        <f t="shared" si="0"/>
        <v>212.63548894048031</v>
      </c>
      <c r="D46" s="18">
        <f t="shared" si="1"/>
        <v>3.2888833297982201</v>
      </c>
      <c r="E46" s="22">
        <f t="shared" si="2"/>
        <v>0.90644245153667458</v>
      </c>
      <c r="F46" s="18">
        <f t="shared" si="3"/>
        <v>192.62746400799927</v>
      </c>
      <c r="G46" s="18">
        <f t="shared" si="4"/>
        <v>0.37253599200073495</v>
      </c>
      <c r="H46" s="18">
        <f t="shared" si="5"/>
        <v>0.13878306533597165</v>
      </c>
    </row>
    <row r="47" spans="1:8" x14ac:dyDescent="0.25">
      <c r="A47">
        <v>31</v>
      </c>
      <c r="B47">
        <v>211</v>
      </c>
      <c r="C47" s="18">
        <f t="shared" si="0"/>
        <v>219.98137506971179</v>
      </c>
      <c r="D47" s="18">
        <f t="shared" si="1"/>
        <v>4.2175894339991213</v>
      </c>
      <c r="E47" s="22">
        <f t="shared" si="2"/>
        <v>0.92083758937691518</v>
      </c>
      <c r="F47" s="18">
        <f t="shared" si="3"/>
        <v>198.83127844908691</v>
      </c>
      <c r="G47" s="18">
        <f t="shared" si="4"/>
        <v>12.168721550913091</v>
      </c>
      <c r="H47" s="18">
        <f t="shared" si="5"/>
        <v>148.07778418365669</v>
      </c>
    </row>
    <row r="48" spans="1:8" x14ac:dyDescent="0.25">
      <c r="A48">
        <v>32</v>
      </c>
      <c r="B48">
        <v>208</v>
      </c>
      <c r="C48" s="18">
        <f t="shared" si="0"/>
        <v>224.28263613478836</v>
      </c>
      <c r="D48" s="18">
        <f t="shared" si="1"/>
        <v>4.2367430699150104</v>
      </c>
      <c r="E48" s="22">
        <f t="shared" si="2"/>
        <v>0.92662094367181047</v>
      </c>
      <c r="F48" s="18">
        <f t="shared" si="3"/>
        <v>207.74745605867133</v>
      </c>
      <c r="G48" s="18">
        <f t="shared" si="4"/>
        <v>0.25254394132866764</v>
      </c>
      <c r="H48" s="18">
        <f t="shared" si="5"/>
        <v>6.377844230181752E-2</v>
      </c>
    </row>
    <row r="49" spans="1:8" x14ac:dyDescent="0.25">
      <c r="A49">
        <v>33</v>
      </c>
      <c r="B49">
        <v>216</v>
      </c>
      <c r="C49" s="18">
        <f t="shared" si="0"/>
        <v>225.44798164319218</v>
      </c>
      <c r="D49" s="18">
        <f t="shared" si="1"/>
        <v>3.533656134850125</v>
      </c>
      <c r="E49" s="22">
        <f t="shared" si="2"/>
        <v>0.98849075287229571</v>
      </c>
      <c r="F49" s="18">
        <f t="shared" si="3"/>
        <v>225.88929319596687</v>
      </c>
      <c r="G49" s="18">
        <f t="shared" si="4"/>
        <v>-9.8892931959668715</v>
      </c>
      <c r="H49" s="18">
        <f t="shared" si="5"/>
        <v>97.798119915796661</v>
      </c>
    </row>
    <row r="50" spans="1:8" x14ac:dyDescent="0.25">
      <c r="A50">
        <v>34</v>
      </c>
      <c r="B50">
        <v>218</v>
      </c>
      <c r="C50" s="18">
        <f t="shared" si="0"/>
        <v>224.5432123790184</v>
      </c>
      <c r="D50" s="18">
        <f t="shared" si="1"/>
        <v>2.5176369293199627</v>
      </c>
      <c r="E50" s="22">
        <f t="shared" si="2"/>
        <v>1.0162014531884298</v>
      </c>
      <c r="F50" s="18">
        <f t="shared" si="3"/>
        <v>232.69147306351326</v>
      </c>
      <c r="G50" s="18">
        <f t="shared" si="4"/>
        <v>-14.691473063513257</v>
      </c>
      <c r="H50" s="18">
        <f t="shared" si="5"/>
        <v>215.83938077593561</v>
      </c>
    </row>
    <row r="51" spans="1:8" x14ac:dyDescent="0.25">
      <c r="A51">
        <v>35</v>
      </c>
      <c r="B51">
        <v>264</v>
      </c>
      <c r="C51" s="18">
        <f t="shared" si="0"/>
        <v>234.68524904572058</v>
      </c>
      <c r="D51" s="18">
        <f t="shared" si="1"/>
        <v>4.2629713367706428</v>
      </c>
      <c r="E51" s="22">
        <f t="shared" si="2"/>
        <v>1.0480526558060541</v>
      </c>
      <c r="F51" s="18">
        <f t="shared" si="3"/>
        <v>237.97172614718227</v>
      </c>
      <c r="G51" s="18">
        <f t="shared" si="4"/>
        <v>26.028273852817733</v>
      </c>
      <c r="H51" s="18">
        <f t="shared" si="5"/>
        <v>677.47103975727532</v>
      </c>
    </row>
    <row r="52" spans="1:8" x14ac:dyDescent="0.25">
      <c r="A52">
        <v>36</v>
      </c>
      <c r="B52">
        <v>304</v>
      </c>
      <c r="C52" s="18">
        <f t="shared" si="0"/>
        <v>243.10579896848199</v>
      </c>
      <c r="D52" s="18">
        <f t="shared" si="1"/>
        <v>5.2147006804240261</v>
      </c>
      <c r="E52" s="22">
        <f>E40+E$2*(1-C$2)*G52/(C51+D51)</f>
        <v>1.2040049076184032</v>
      </c>
      <c r="F52" s="18">
        <f t="shared" si="3"/>
        <v>287.69483000720322</v>
      </c>
      <c r="G52" s="18">
        <f t="shared" si="4"/>
        <v>16.305169992796777</v>
      </c>
      <c r="H52" s="18">
        <f t="shared" si="5"/>
        <v>265.85856849400045</v>
      </c>
    </row>
    <row r="53" spans="1:8" x14ac:dyDescent="0.25">
      <c r="A53" s="4">
        <v>37</v>
      </c>
      <c r="B53" s="9">
        <f>(C$52+(A53-A$52)*D$52)*E41</f>
        <v>245.39861147012175</v>
      </c>
      <c r="C53" s="4"/>
      <c r="D53" s="4"/>
      <c r="E53" s="4"/>
      <c r="F53" s="4"/>
      <c r="G53" s="4"/>
      <c r="H53" s="4"/>
    </row>
    <row r="54" spans="1:8" x14ac:dyDescent="0.25">
      <c r="A54" s="4">
        <v>38</v>
      </c>
      <c r="B54" s="9">
        <f t="shared" ref="B54:B64" si="6">(C$52+(A54-A$52)*D$52)*E42</f>
        <v>263.53957616912089</v>
      </c>
      <c r="C54" s="4"/>
      <c r="D54" s="4"/>
      <c r="E54" s="4"/>
      <c r="F54" s="4"/>
      <c r="G54" s="4"/>
      <c r="H54" s="4"/>
    </row>
    <row r="55" spans="1:8" x14ac:dyDescent="0.25">
      <c r="A55" s="4">
        <v>39</v>
      </c>
      <c r="B55" s="9">
        <f t="shared" si="6"/>
        <v>241.39639687929989</v>
      </c>
      <c r="C55" s="4"/>
      <c r="D55" s="4"/>
      <c r="E55" s="4"/>
      <c r="F55" s="4"/>
      <c r="G55" s="4"/>
      <c r="H55" s="4"/>
    </row>
    <row r="56" spans="1:8" x14ac:dyDescent="0.25">
      <c r="A56" s="4">
        <v>40</v>
      </c>
      <c r="B56" s="9">
        <f t="shared" si="6"/>
        <v>240.89350314227795</v>
      </c>
      <c r="C56" s="4"/>
      <c r="D56" s="4"/>
      <c r="E56" s="4"/>
      <c r="F56" s="4"/>
      <c r="G56" s="4"/>
      <c r="H56" s="4"/>
    </row>
    <row r="57" spans="1:8" x14ac:dyDescent="0.25">
      <c r="A57" s="4">
        <v>41</v>
      </c>
      <c r="B57" s="9">
        <f t="shared" si="6"/>
        <v>280.75686694960115</v>
      </c>
      <c r="C57" s="4"/>
      <c r="D57" s="4"/>
      <c r="E57" s="4"/>
      <c r="F57" s="4"/>
      <c r="G57" s="4"/>
      <c r="H57" s="4"/>
    </row>
    <row r="58" spans="1:8" x14ac:dyDescent="0.25">
      <c r="A58" s="4">
        <v>42</v>
      </c>
      <c r="B58" s="9">
        <f t="shared" si="6"/>
        <v>248.72237281253393</v>
      </c>
      <c r="C58" s="4"/>
      <c r="D58" s="4"/>
      <c r="E58" s="4"/>
      <c r="F58" s="4"/>
      <c r="G58" s="4"/>
      <c r="H58" s="4"/>
    </row>
    <row r="59" spans="1:8" x14ac:dyDescent="0.25">
      <c r="A59" s="4">
        <v>43</v>
      </c>
      <c r="B59" s="9">
        <f t="shared" si="6"/>
        <v>257.47420471287268</v>
      </c>
      <c r="C59" s="4"/>
      <c r="D59" s="4"/>
      <c r="E59" s="4"/>
      <c r="F59" s="4"/>
      <c r="G59" s="4"/>
      <c r="H59" s="4"/>
    </row>
    <row r="60" spans="1:8" x14ac:dyDescent="0.25">
      <c r="A60" s="4">
        <v>44</v>
      </c>
      <c r="B60" s="9">
        <f t="shared" si="6"/>
        <v>263.92333177594861</v>
      </c>
      <c r="C60" s="4"/>
      <c r="D60" s="4"/>
      <c r="E60" s="4"/>
      <c r="F60" s="4"/>
      <c r="G60" s="4"/>
      <c r="H60" s="4"/>
    </row>
    <row r="61" spans="1:8" x14ac:dyDescent="0.25">
      <c r="A61" s="4">
        <v>45</v>
      </c>
      <c r="B61" s="9">
        <f t="shared" si="6"/>
        <v>286.69998486433991</v>
      </c>
      <c r="C61" s="4"/>
      <c r="D61" s="4"/>
      <c r="E61" s="4"/>
      <c r="F61" s="4"/>
      <c r="G61" s="4"/>
      <c r="H61" s="4"/>
    </row>
    <row r="62" spans="1:8" x14ac:dyDescent="0.25">
      <c r="A62" s="4">
        <v>46</v>
      </c>
      <c r="B62" s="9">
        <f t="shared" si="6"/>
        <v>300.03633028420154</v>
      </c>
      <c r="C62" s="4"/>
      <c r="D62" s="4"/>
      <c r="E62" s="4"/>
      <c r="F62" s="4"/>
      <c r="G62" s="4"/>
      <c r="H62" s="4"/>
    </row>
    <row r="63" spans="1:8" x14ac:dyDescent="0.25">
      <c r="A63" s="4">
        <v>47</v>
      </c>
      <c r="B63" s="9">
        <f t="shared" si="6"/>
        <v>314.90576812164261</v>
      </c>
      <c r="C63" s="4"/>
      <c r="D63" s="4"/>
      <c r="E63" s="4"/>
      <c r="F63" s="4"/>
      <c r="G63" s="4"/>
      <c r="H63" s="4"/>
    </row>
    <row r="64" spans="1:8" x14ac:dyDescent="0.25">
      <c r="A64" s="4">
        <v>48</v>
      </c>
      <c r="B64" s="9">
        <f t="shared" si="6"/>
        <v>368.04287756044386</v>
      </c>
      <c r="C64" s="4"/>
      <c r="D64" s="4"/>
      <c r="E64" s="4"/>
      <c r="F64" s="4"/>
      <c r="G64" s="4"/>
      <c r="H64" s="4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42"/>
  <sheetViews>
    <sheetView workbookViewId="0"/>
  </sheetViews>
  <sheetFormatPr defaultColWidth="11" defaultRowHeight="15.75" x14ac:dyDescent="0.25"/>
  <cols>
    <col min="2" max="2" width="13.375" bestFit="1" customWidth="1"/>
    <col min="3" max="3" width="19.125" bestFit="1" customWidth="1"/>
  </cols>
  <sheetData>
    <row r="1" spans="1:15" x14ac:dyDescent="0.25">
      <c r="A1" t="s">
        <v>1</v>
      </c>
      <c r="B1" t="s">
        <v>25</v>
      </c>
      <c r="C1" t="s">
        <v>10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5" x14ac:dyDescent="0.25">
      <c r="A2">
        <v>1</v>
      </c>
      <c r="B2">
        <v>20.095830785484111</v>
      </c>
      <c r="C2">
        <f t="shared" ref="C2:C37" si="0">B2-B$38</f>
        <v>18.840992041431921</v>
      </c>
      <c r="D2">
        <f ca="1">IF(ROW()-D$1&gt;2,OFFSET($C2,-D$1,0),0)</f>
        <v>0</v>
      </c>
      <c r="E2">
        <f t="shared" ref="E2:O17" ca="1" si="1">IF(ROW()-E$1&gt;2,OFFSET($C2,-E$1,0),0)</f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</row>
    <row r="3" spans="1:15" x14ac:dyDescent="0.25">
      <c r="A3">
        <v>2</v>
      </c>
      <c r="B3">
        <v>8.3131099226456229</v>
      </c>
      <c r="C3">
        <f t="shared" si="0"/>
        <v>7.058271178593432</v>
      </c>
      <c r="D3">
        <f t="shared" ref="D3:O37" ca="1" si="2">IF(ROW()-D$1&gt;2,OFFSET($C3,-D$1,0),0)</f>
        <v>0</v>
      </c>
      <c r="E3">
        <f t="shared" ca="1" si="1"/>
        <v>0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</row>
    <row r="4" spans="1:15" x14ac:dyDescent="0.25">
      <c r="A4">
        <v>3</v>
      </c>
      <c r="B4">
        <v>-5.2238718265479349</v>
      </c>
      <c r="C4">
        <f t="shared" si="0"/>
        <v>-6.4787105706001258</v>
      </c>
      <c r="D4">
        <f t="shared" ca="1" si="2"/>
        <v>7.058271178593432</v>
      </c>
      <c r="E4">
        <f t="shared" ca="1" si="1"/>
        <v>0</v>
      </c>
      <c r="F4">
        <f t="shared" ca="1" si="1"/>
        <v>0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</row>
    <row r="5" spans="1:15" x14ac:dyDescent="0.25">
      <c r="A5">
        <v>4</v>
      </c>
      <c r="B5">
        <v>-7.811364028530619</v>
      </c>
      <c r="C5">
        <f t="shared" si="0"/>
        <v>-9.0662027725828107</v>
      </c>
      <c r="D5">
        <f t="shared" ca="1" si="2"/>
        <v>-6.4787105706001258</v>
      </c>
      <c r="E5">
        <f t="shared" ca="1" si="1"/>
        <v>7.058271178593432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</row>
    <row r="6" spans="1:15" x14ac:dyDescent="0.25">
      <c r="A6">
        <v>5</v>
      </c>
      <c r="B6">
        <v>-8.9653881405673701</v>
      </c>
      <c r="C6">
        <f t="shared" si="0"/>
        <v>-10.220226884619562</v>
      </c>
      <c r="D6">
        <f t="shared" ca="1" si="2"/>
        <v>-9.0662027725828107</v>
      </c>
      <c r="E6">
        <f t="shared" ca="1" si="1"/>
        <v>-6.4787105706001258</v>
      </c>
      <c r="F6">
        <f t="shared" ca="1" si="1"/>
        <v>7.058271178593432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</row>
    <row r="7" spans="1:15" x14ac:dyDescent="0.25">
      <c r="A7">
        <v>6</v>
      </c>
      <c r="B7">
        <v>9.7159919692278436</v>
      </c>
      <c r="C7">
        <f t="shared" si="0"/>
        <v>8.4611532251756518</v>
      </c>
      <c r="D7">
        <f t="shared" ca="1" si="2"/>
        <v>-10.220226884619562</v>
      </c>
      <c r="E7">
        <f t="shared" ca="1" si="1"/>
        <v>-9.0662027725828107</v>
      </c>
      <c r="F7">
        <f t="shared" ca="1" si="1"/>
        <v>-6.4787105706001258</v>
      </c>
      <c r="G7">
        <f t="shared" ca="1" si="1"/>
        <v>7.058271178593432</v>
      </c>
      <c r="H7">
        <f t="shared" ca="1" si="1"/>
        <v>0</v>
      </c>
      <c r="I7">
        <f t="shared" ca="1" si="1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</row>
    <row r="8" spans="1:15" x14ac:dyDescent="0.25">
      <c r="A8">
        <v>7</v>
      </c>
      <c r="B8">
        <v>-6.7900924077773084</v>
      </c>
      <c r="C8">
        <f t="shared" si="0"/>
        <v>-8.0449311518295001</v>
      </c>
      <c r="D8">
        <f t="shared" ca="1" si="2"/>
        <v>8.4611532251756518</v>
      </c>
      <c r="E8">
        <f t="shared" ca="1" si="1"/>
        <v>-10.220226884619562</v>
      </c>
      <c r="F8">
        <f t="shared" ca="1" si="1"/>
        <v>-9.0662027725828107</v>
      </c>
      <c r="G8">
        <f t="shared" ca="1" si="1"/>
        <v>-6.4787105706001258</v>
      </c>
      <c r="H8">
        <f t="shared" ca="1" si="1"/>
        <v>7.058271178593432</v>
      </c>
      <c r="I8">
        <f t="shared" ca="1" si="1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</row>
    <row r="9" spans="1:15" x14ac:dyDescent="0.25">
      <c r="A9">
        <v>8</v>
      </c>
      <c r="B9">
        <v>-10.318142808492297</v>
      </c>
      <c r="C9">
        <f t="shared" si="0"/>
        <v>-11.572981552544489</v>
      </c>
      <c r="D9">
        <f t="shared" ca="1" si="2"/>
        <v>-8.0449311518295001</v>
      </c>
      <c r="E9">
        <f t="shared" ca="1" si="1"/>
        <v>8.4611532251756518</v>
      </c>
      <c r="F9">
        <f t="shared" ca="1" si="1"/>
        <v>-10.220226884619562</v>
      </c>
      <c r="G9">
        <f t="shared" ca="1" si="1"/>
        <v>-9.0662027725828107</v>
      </c>
      <c r="H9">
        <f t="shared" ca="1" si="1"/>
        <v>-6.4787105706001258</v>
      </c>
      <c r="I9">
        <f t="shared" ca="1" si="1"/>
        <v>7.058271178593432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</row>
    <row r="10" spans="1:15" x14ac:dyDescent="0.25">
      <c r="A10">
        <v>9</v>
      </c>
      <c r="B10">
        <v>-10.673650569753761</v>
      </c>
      <c r="C10">
        <f t="shared" si="0"/>
        <v>-11.928489313805953</v>
      </c>
      <c r="D10">
        <f t="shared" ca="1" si="2"/>
        <v>-11.572981552544489</v>
      </c>
      <c r="E10">
        <f t="shared" ca="1" si="1"/>
        <v>-8.0449311518295001</v>
      </c>
      <c r="F10">
        <f t="shared" ca="1" si="1"/>
        <v>8.4611532251756518</v>
      </c>
      <c r="G10">
        <f t="shared" ca="1" si="1"/>
        <v>-10.220226884619562</v>
      </c>
      <c r="H10">
        <f t="shared" ca="1" si="1"/>
        <v>-9.0662027725828107</v>
      </c>
      <c r="I10">
        <f t="shared" ca="1" si="1"/>
        <v>-6.4787105706001258</v>
      </c>
      <c r="J10">
        <f t="shared" ca="1" si="1"/>
        <v>7.058271178593432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</row>
    <row r="11" spans="1:15" x14ac:dyDescent="0.25">
      <c r="A11">
        <v>10</v>
      </c>
      <c r="B11">
        <v>-3.3776337646355046</v>
      </c>
      <c r="C11">
        <f t="shared" si="0"/>
        <v>-4.6324725086876954</v>
      </c>
      <c r="D11">
        <f t="shared" ca="1" si="2"/>
        <v>-11.928489313805953</v>
      </c>
      <c r="E11">
        <f t="shared" ca="1" si="1"/>
        <v>-11.572981552544489</v>
      </c>
      <c r="F11">
        <f t="shared" ca="1" si="1"/>
        <v>-8.0449311518295001</v>
      </c>
      <c r="G11">
        <f t="shared" ca="1" si="1"/>
        <v>8.4611532251756518</v>
      </c>
      <c r="H11">
        <f t="shared" ca="1" si="1"/>
        <v>-10.220226884619562</v>
      </c>
      <c r="I11">
        <f t="shared" ca="1" si="1"/>
        <v>-9.0662027725828107</v>
      </c>
      <c r="J11">
        <f t="shared" ca="1" si="1"/>
        <v>-6.4787105706001258</v>
      </c>
      <c r="K11">
        <f t="shared" ca="1" si="1"/>
        <v>7.058271178593432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</row>
    <row r="12" spans="1:15" x14ac:dyDescent="0.25">
      <c r="A12">
        <v>11</v>
      </c>
      <c r="B12">
        <v>-4.8237050277253672</v>
      </c>
      <c r="C12">
        <f t="shared" si="0"/>
        <v>-6.0785437717775581</v>
      </c>
      <c r="D12">
        <f t="shared" ca="1" si="2"/>
        <v>-4.6324725086876954</v>
      </c>
      <c r="E12">
        <f t="shared" ca="1" si="1"/>
        <v>-11.928489313805953</v>
      </c>
      <c r="F12">
        <f t="shared" ca="1" si="1"/>
        <v>-11.572981552544489</v>
      </c>
      <c r="G12">
        <f t="shared" ca="1" si="1"/>
        <v>-8.0449311518295001</v>
      </c>
      <c r="H12">
        <f t="shared" ca="1" si="1"/>
        <v>8.4611532251756518</v>
      </c>
      <c r="I12">
        <f t="shared" ca="1" si="1"/>
        <v>-10.220226884619562</v>
      </c>
      <c r="J12">
        <f t="shared" ca="1" si="1"/>
        <v>-9.0662027725828107</v>
      </c>
      <c r="K12">
        <f t="shared" ca="1" si="1"/>
        <v>-6.4787105706001258</v>
      </c>
      <c r="L12">
        <f t="shared" ca="1" si="1"/>
        <v>7.058271178593432</v>
      </c>
      <c r="M12">
        <f t="shared" ca="1" si="1"/>
        <v>0</v>
      </c>
      <c r="N12">
        <f t="shared" ca="1" si="1"/>
        <v>0</v>
      </c>
      <c r="O12">
        <f t="shared" ca="1" si="1"/>
        <v>0</v>
      </c>
    </row>
    <row r="13" spans="1:15" x14ac:dyDescent="0.25">
      <c r="A13">
        <v>12</v>
      </c>
      <c r="B13">
        <v>-0.47169951545021149</v>
      </c>
      <c r="C13">
        <f t="shared" si="0"/>
        <v>-1.7265382595024026</v>
      </c>
      <c r="D13">
        <f t="shared" ca="1" si="2"/>
        <v>-6.0785437717775581</v>
      </c>
      <c r="E13">
        <f t="shared" ca="1" si="1"/>
        <v>-4.6324725086876954</v>
      </c>
      <c r="F13">
        <f t="shared" ca="1" si="1"/>
        <v>-11.928489313805953</v>
      </c>
      <c r="G13">
        <f t="shared" ca="1" si="1"/>
        <v>-11.572981552544489</v>
      </c>
      <c r="H13">
        <f t="shared" ca="1" si="1"/>
        <v>-8.0449311518295001</v>
      </c>
      <c r="I13">
        <f t="shared" ca="1" si="1"/>
        <v>8.4611532251756518</v>
      </c>
      <c r="J13">
        <f t="shared" ca="1" si="1"/>
        <v>-10.220226884619562</v>
      </c>
      <c r="K13">
        <f t="shared" ca="1" si="1"/>
        <v>-9.0662027725828107</v>
      </c>
      <c r="L13">
        <f t="shared" ca="1" si="1"/>
        <v>-6.4787105706001258</v>
      </c>
      <c r="M13">
        <f t="shared" ca="1" si="1"/>
        <v>7.058271178593432</v>
      </c>
      <c r="N13">
        <f t="shared" ca="1" si="1"/>
        <v>0</v>
      </c>
      <c r="O13">
        <f t="shared" ca="1" si="1"/>
        <v>0</v>
      </c>
    </row>
    <row r="14" spans="1:15" x14ac:dyDescent="0.25">
      <c r="A14">
        <v>13</v>
      </c>
      <c r="B14">
        <v>1.4093682446660978</v>
      </c>
      <c r="C14">
        <f t="shared" si="0"/>
        <v>0.15452950061390669</v>
      </c>
      <c r="D14">
        <f t="shared" ca="1" si="2"/>
        <v>-1.7265382595024026</v>
      </c>
      <c r="E14">
        <f t="shared" ca="1" si="1"/>
        <v>-6.0785437717775581</v>
      </c>
      <c r="F14">
        <f t="shared" ca="1" si="1"/>
        <v>-4.6324725086876954</v>
      </c>
      <c r="G14">
        <f t="shared" ca="1" si="1"/>
        <v>-11.928489313805953</v>
      </c>
      <c r="H14">
        <f t="shared" ca="1" si="1"/>
        <v>-11.572981552544489</v>
      </c>
      <c r="I14">
        <f t="shared" ca="1" si="1"/>
        <v>-8.0449311518295001</v>
      </c>
      <c r="J14">
        <f t="shared" ca="1" si="1"/>
        <v>8.4611532251756518</v>
      </c>
      <c r="K14">
        <f t="shared" ca="1" si="1"/>
        <v>-10.220226884619562</v>
      </c>
      <c r="L14">
        <f t="shared" ca="1" si="1"/>
        <v>-9.0662027725828107</v>
      </c>
      <c r="M14">
        <f t="shared" ca="1" si="1"/>
        <v>-6.4787105706001258</v>
      </c>
      <c r="N14">
        <f t="shared" ca="1" si="1"/>
        <v>7.058271178593432</v>
      </c>
      <c r="O14">
        <f t="shared" ca="1" si="1"/>
        <v>0</v>
      </c>
    </row>
    <row r="15" spans="1:15" x14ac:dyDescent="0.25">
      <c r="A15">
        <v>14</v>
      </c>
      <c r="B15">
        <v>-11.575819279458415</v>
      </c>
      <c r="C15">
        <f t="shared" si="0"/>
        <v>-12.830658023510606</v>
      </c>
      <c r="D15">
        <f t="shared" ca="1" si="2"/>
        <v>0.15452950061390669</v>
      </c>
      <c r="E15">
        <f t="shared" ca="1" si="1"/>
        <v>-1.7265382595024026</v>
      </c>
      <c r="F15">
        <f t="shared" ca="1" si="1"/>
        <v>-6.0785437717775581</v>
      </c>
      <c r="G15">
        <f t="shared" ca="1" si="1"/>
        <v>-4.6324725086876954</v>
      </c>
      <c r="H15">
        <f t="shared" ca="1" si="1"/>
        <v>-11.928489313805953</v>
      </c>
      <c r="I15">
        <f t="shared" ca="1" si="1"/>
        <v>-11.572981552544489</v>
      </c>
      <c r="J15">
        <f t="shared" ca="1" si="1"/>
        <v>-8.0449311518295001</v>
      </c>
      <c r="K15">
        <f t="shared" ca="1" si="1"/>
        <v>8.4611532251756518</v>
      </c>
      <c r="L15">
        <f t="shared" ca="1" si="1"/>
        <v>-10.220226884619562</v>
      </c>
      <c r="M15">
        <f t="shared" ca="1" si="1"/>
        <v>-9.0662027725828107</v>
      </c>
      <c r="N15">
        <f t="shared" ca="1" si="1"/>
        <v>-6.4787105706001258</v>
      </c>
      <c r="O15">
        <f t="shared" ca="1" si="1"/>
        <v>7.058271178593432</v>
      </c>
    </row>
    <row r="16" spans="1:15" x14ac:dyDescent="0.25">
      <c r="A16">
        <v>15</v>
      </c>
      <c r="B16">
        <v>5.7858549079317925</v>
      </c>
      <c r="C16">
        <f t="shared" si="0"/>
        <v>4.5310161638796016</v>
      </c>
      <c r="D16">
        <f t="shared" ca="1" si="2"/>
        <v>-12.830658023510606</v>
      </c>
      <c r="E16">
        <f t="shared" ca="1" si="1"/>
        <v>0.15452950061390669</v>
      </c>
      <c r="F16">
        <f t="shared" ca="1" si="1"/>
        <v>-1.7265382595024026</v>
      </c>
      <c r="G16">
        <f t="shared" ca="1" si="1"/>
        <v>-6.0785437717775581</v>
      </c>
      <c r="H16">
        <f t="shared" ca="1" si="1"/>
        <v>-4.6324725086876954</v>
      </c>
      <c r="I16">
        <f t="shared" ca="1" si="1"/>
        <v>-11.928489313805953</v>
      </c>
      <c r="J16">
        <f t="shared" ca="1" si="1"/>
        <v>-11.572981552544489</v>
      </c>
      <c r="K16">
        <f t="shared" ca="1" si="1"/>
        <v>-8.0449311518295001</v>
      </c>
      <c r="L16">
        <f t="shared" ca="1" si="1"/>
        <v>8.4611532251756518</v>
      </c>
      <c r="M16">
        <f t="shared" ca="1" si="1"/>
        <v>-10.220226884619562</v>
      </c>
      <c r="N16">
        <f t="shared" ca="1" si="1"/>
        <v>-9.0662027725828107</v>
      </c>
      <c r="O16">
        <f t="shared" ca="1" si="1"/>
        <v>-6.4787105706001258</v>
      </c>
    </row>
    <row r="17" spans="1:15" x14ac:dyDescent="0.25">
      <c r="A17">
        <v>16</v>
      </c>
      <c r="B17">
        <v>-7.9701391399435408</v>
      </c>
      <c r="C17">
        <f t="shared" si="0"/>
        <v>-9.2249778839957326</v>
      </c>
      <c r="D17">
        <f t="shared" ca="1" si="2"/>
        <v>4.5310161638796016</v>
      </c>
      <c r="E17">
        <f t="shared" ca="1" si="1"/>
        <v>-12.830658023510606</v>
      </c>
      <c r="F17">
        <f t="shared" ca="1" si="1"/>
        <v>0.15452950061390669</v>
      </c>
      <c r="G17">
        <f t="shared" ca="1" si="1"/>
        <v>-1.7265382595024026</v>
      </c>
      <c r="H17">
        <f t="shared" ca="1" si="1"/>
        <v>-6.0785437717775581</v>
      </c>
      <c r="I17">
        <f t="shared" ca="1" si="1"/>
        <v>-4.6324725086876954</v>
      </c>
      <c r="J17">
        <f t="shared" ca="1" si="1"/>
        <v>-11.928489313805953</v>
      </c>
      <c r="K17">
        <f t="shared" ca="1" si="1"/>
        <v>-11.572981552544489</v>
      </c>
      <c r="L17">
        <f t="shared" ca="1" si="1"/>
        <v>-8.0449311518295001</v>
      </c>
      <c r="M17">
        <f t="shared" ca="1" si="1"/>
        <v>8.4611532251756518</v>
      </c>
      <c r="N17">
        <f t="shared" ca="1" si="1"/>
        <v>-10.220226884619562</v>
      </c>
      <c r="O17">
        <f t="shared" ca="1" si="1"/>
        <v>-9.0662027725828107</v>
      </c>
    </row>
    <row r="18" spans="1:15" x14ac:dyDescent="0.25">
      <c r="A18">
        <v>17</v>
      </c>
      <c r="B18">
        <v>13.836848582639504</v>
      </c>
      <c r="C18">
        <f t="shared" si="0"/>
        <v>12.582009838587313</v>
      </c>
      <c r="D18">
        <f t="shared" ca="1" si="2"/>
        <v>-9.2249778839957326</v>
      </c>
      <c r="E18">
        <f t="shared" ca="1" si="2"/>
        <v>4.5310161638796016</v>
      </c>
      <c r="F18">
        <f t="shared" ca="1" si="2"/>
        <v>-12.830658023510606</v>
      </c>
      <c r="G18">
        <f t="shared" ca="1" si="2"/>
        <v>0.15452950061390669</v>
      </c>
      <c r="H18">
        <f t="shared" ca="1" si="2"/>
        <v>-1.7265382595024026</v>
      </c>
      <c r="I18">
        <f t="shared" ca="1" si="2"/>
        <v>-6.0785437717775581</v>
      </c>
      <c r="J18">
        <f t="shared" ca="1" si="2"/>
        <v>-4.6324725086876954</v>
      </c>
      <c r="K18">
        <f t="shared" ca="1" si="2"/>
        <v>-11.928489313805953</v>
      </c>
      <c r="L18">
        <f t="shared" ca="1" si="2"/>
        <v>-11.572981552544489</v>
      </c>
      <c r="M18">
        <f t="shared" ca="1" si="2"/>
        <v>-8.0449311518295001</v>
      </c>
      <c r="N18">
        <f t="shared" ca="1" si="2"/>
        <v>8.4611532251756518</v>
      </c>
      <c r="O18">
        <f t="shared" ca="1" si="2"/>
        <v>-10.220226884619562</v>
      </c>
    </row>
    <row r="19" spans="1:15" x14ac:dyDescent="0.25">
      <c r="A19">
        <v>18</v>
      </c>
      <c r="B19">
        <v>5.2400212755332234</v>
      </c>
      <c r="C19">
        <f t="shared" si="0"/>
        <v>3.9851825314810325</v>
      </c>
      <c r="D19">
        <f t="shared" ca="1" si="2"/>
        <v>12.582009838587313</v>
      </c>
      <c r="E19">
        <f t="shared" ca="1" si="2"/>
        <v>-9.2249778839957326</v>
      </c>
      <c r="F19">
        <f t="shared" ca="1" si="2"/>
        <v>4.5310161638796016</v>
      </c>
      <c r="G19">
        <f t="shared" ca="1" si="2"/>
        <v>-12.830658023510606</v>
      </c>
      <c r="H19">
        <f t="shared" ca="1" si="2"/>
        <v>0.15452950061390669</v>
      </c>
      <c r="I19">
        <f t="shared" ca="1" si="2"/>
        <v>-1.7265382595024026</v>
      </c>
      <c r="J19">
        <f t="shared" ca="1" si="2"/>
        <v>-6.0785437717775581</v>
      </c>
      <c r="K19">
        <f t="shared" ca="1" si="2"/>
        <v>-4.6324725086876954</v>
      </c>
      <c r="L19">
        <f t="shared" ca="1" si="2"/>
        <v>-11.928489313805953</v>
      </c>
      <c r="M19">
        <f t="shared" ca="1" si="2"/>
        <v>-11.572981552544489</v>
      </c>
      <c r="N19">
        <f t="shared" ca="1" si="2"/>
        <v>-8.0449311518295001</v>
      </c>
      <c r="O19">
        <f t="shared" ca="1" si="2"/>
        <v>8.4611532251756518</v>
      </c>
    </row>
    <row r="20" spans="1:15" x14ac:dyDescent="0.25">
      <c r="A20">
        <v>19</v>
      </c>
      <c r="B20">
        <v>1.0374001520052332</v>
      </c>
      <c r="C20">
        <f t="shared" si="0"/>
        <v>-0.21743859204695792</v>
      </c>
      <c r="D20">
        <f t="shared" ca="1" si="2"/>
        <v>3.9851825314810325</v>
      </c>
      <c r="E20">
        <f t="shared" ca="1" si="2"/>
        <v>12.582009838587313</v>
      </c>
      <c r="F20">
        <f t="shared" ca="1" si="2"/>
        <v>-9.2249778839957326</v>
      </c>
      <c r="G20">
        <f t="shared" ca="1" si="2"/>
        <v>4.5310161638796016</v>
      </c>
      <c r="H20">
        <f t="shared" ca="1" si="2"/>
        <v>-12.830658023510606</v>
      </c>
      <c r="I20">
        <f t="shared" ca="1" si="2"/>
        <v>0.15452950061390669</v>
      </c>
      <c r="J20">
        <f t="shared" ca="1" si="2"/>
        <v>-1.7265382595024026</v>
      </c>
      <c r="K20">
        <f t="shared" ca="1" si="2"/>
        <v>-6.0785437717775581</v>
      </c>
      <c r="L20">
        <f t="shared" ca="1" si="2"/>
        <v>-4.6324725086876954</v>
      </c>
      <c r="M20">
        <f t="shared" ca="1" si="2"/>
        <v>-11.928489313805953</v>
      </c>
      <c r="N20">
        <f t="shared" ca="1" si="2"/>
        <v>-11.572981552544489</v>
      </c>
      <c r="O20">
        <f t="shared" ca="1" si="2"/>
        <v>-8.0449311518295001</v>
      </c>
    </row>
    <row r="21" spans="1:15" x14ac:dyDescent="0.25">
      <c r="A21">
        <v>20</v>
      </c>
      <c r="B21">
        <v>5.5309877709871955</v>
      </c>
      <c r="C21">
        <f t="shared" si="0"/>
        <v>4.2761490269350046</v>
      </c>
      <c r="D21">
        <f t="shared" ca="1" si="2"/>
        <v>-0.21743859204695792</v>
      </c>
      <c r="E21">
        <f t="shared" ca="1" si="2"/>
        <v>3.9851825314810325</v>
      </c>
      <c r="F21">
        <f t="shared" ca="1" si="2"/>
        <v>12.582009838587313</v>
      </c>
      <c r="G21">
        <f t="shared" ca="1" si="2"/>
        <v>-9.2249778839957326</v>
      </c>
      <c r="H21">
        <f t="shared" ca="1" si="2"/>
        <v>4.5310161638796016</v>
      </c>
      <c r="I21">
        <f t="shared" ca="1" si="2"/>
        <v>-12.830658023510606</v>
      </c>
      <c r="J21">
        <f t="shared" ca="1" si="2"/>
        <v>0.15452950061390669</v>
      </c>
      <c r="K21">
        <f t="shared" ca="1" si="2"/>
        <v>-1.7265382595024026</v>
      </c>
      <c r="L21">
        <f t="shared" ca="1" si="2"/>
        <v>-6.0785437717775581</v>
      </c>
      <c r="M21">
        <f t="shared" ca="1" si="2"/>
        <v>-4.6324725086876954</v>
      </c>
      <c r="N21">
        <f t="shared" ca="1" si="2"/>
        <v>-11.928489313805953</v>
      </c>
      <c r="O21">
        <f t="shared" ca="1" si="2"/>
        <v>-11.572981552544489</v>
      </c>
    </row>
    <row r="22" spans="1:15" x14ac:dyDescent="0.25">
      <c r="A22">
        <v>21</v>
      </c>
      <c r="B22">
        <v>7.1367677652823716</v>
      </c>
      <c r="C22">
        <f t="shared" si="0"/>
        <v>5.8819290212301807</v>
      </c>
      <c r="D22">
        <f t="shared" ca="1" si="2"/>
        <v>4.2761490269350046</v>
      </c>
      <c r="E22">
        <f t="shared" ca="1" si="2"/>
        <v>-0.21743859204695792</v>
      </c>
      <c r="F22">
        <f t="shared" ca="1" si="2"/>
        <v>3.9851825314810325</v>
      </c>
      <c r="G22">
        <f t="shared" ca="1" si="2"/>
        <v>12.582009838587313</v>
      </c>
      <c r="H22">
        <f t="shared" ca="1" si="2"/>
        <v>-9.2249778839957326</v>
      </c>
      <c r="I22">
        <f t="shared" ca="1" si="2"/>
        <v>4.5310161638796016</v>
      </c>
      <c r="J22">
        <f t="shared" ca="1" si="2"/>
        <v>-12.830658023510606</v>
      </c>
      <c r="K22">
        <f t="shared" ca="1" si="2"/>
        <v>0.15452950061390669</v>
      </c>
      <c r="L22">
        <f t="shared" ca="1" si="2"/>
        <v>-1.7265382595024026</v>
      </c>
      <c r="M22">
        <f t="shared" ca="1" si="2"/>
        <v>-6.0785437717775581</v>
      </c>
      <c r="N22">
        <f t="shared" ca="1" si="2"/>
        <v>-4.6324725086876954</v>
      </c>
      <c r="O22">
        <f t="shared" ca="1" si="2"/>
        <v>-11.928489313805953</v>
      </c>
    </row>
    <row r="23" spans="1:15" x14ac:dyDescent="0.25">
      <c r="A23">
        <v>22</v>
      </c>
      <c r="B23">
        <v>0.66775654786420091</v>
      </c>
      <c r="C23">
        <f t="shared" si="0"/>
        <v>-0.58708219618799018</v>
      </c>
      <c r="D23">
        <f t="shared" ca="1" si="2"/>
        <v>5.8819290212301807</v>
      </c>
      <c r="E23">
        <f t="shared" ca="1" si="2"/>
        <v>4.2761490269350046</v>
      </c>
      <c r="F23">
        <f t="shared" ca="1" si="2"/>
        <v>-0.21743859204695792</v>
      </c>
      <c r="G23">
        <f t="shared" ca="1" si="2"/>
        <v>3.9851825314810325</v>
      </c>
      <c r="H23">
        <f t="shared" ca="1" si="2"/>
        <v>12.582009838587313</v>
      </c>
      <c r="I23">
        <f t="shared" ca="1" si="2"/>
        <v>-9.2249778839957326</v>
      </c>
      <c r="J23">
        <f t="shared" ca="1" si="2"/>
        <v>4.5310161638796016</v>
      </c>
      <c r="K23">
        <f t="shared" ca="1" si="2"/>
        <v>-12.830658023510606</v>
      </c>
      <c r="L23">
        <f t="shared" ca="1" si="2"/>
        <v>0.15452950061390669</v>
      </c>
      <c r="M23">
        <f t="shared" ca="1" si="2"/>
        <v>-1.7265382595024026</v>
      </c>
      <c r="N23">
        <f t="shared" ca="1" si="2"/>
        <v>-6.0785437717775581</v>
      </c>
      <c r="O23">
        <f t="shared" ca="1" si="2"/>
        <v>-4.6324725086876954</v>
      </c>
    </row>
    <row r="24" spans="1:15" x14ac:dyDescent="0.25">
      <c r="A24">
        <v>23</v>
      </c>
      <c r="B24">
        <v>4.2359148897353123</v>
      </c>
      <c r="C24">
        <f t="shared" si="0"/>
        <v>2.9810761456831214</v>
      </c>
      <c r="D24">
        <f t="shared" ca="1" si="2"/>
        <v>-0.58708219618799018</v>
      </c>
      <c r="E24">
        <f t="shared" ca="1" si="2"/>
        <v>5.8819290212301807</v>
      </c>
      <c r="F24">
        <f t="shared" ca="1" si="2"/>
        <v>4.2761490269350046</v>
      </c>
      <c r="G24">
        <f t="shared" ca="1" si="2"/>
        <v>-0.21743859204695792</v>
      </c>
      <c r="H24">
        <f t="shared" ca="1" si="2"/>
        <v>3.9851825314810325</v>
      </c>
      <c r="I24">
        <f t="shared" ca="1" si="2"/>
        <v>12.582009838587313</v>
      </c>
      <c r="J24">
        <f t="shared" ca="1" si="2"/>
        <v>-9.2249778839957326</v>
      </c>
      <c r="K24">
        <f t="shared" ca="1" si="2"/>
        <v>4.5310161638796016</v>
      </c>
      <c r="L24">
        <f t="shared" ca="1" si="2"/>
        <v>-12.830658023510606</v>
      </c>
      <c r="M24">
        <f t="shared" ca="1" si="2"/>
        <v>0.15452950061390669</v>
      </c>
      <c r="N24">
        <f t="shared" ca="1" si="2"/>
        <v>-1.7265382595024026</v>
      </c>
      <c r="O24">
        <f t="shared" ca="1" si="2"/>
        <v>-6.0785437717775581</v>
      </c>
    </row>
    <row r="25" spans="1:15" x14ac:dyDescent="0.25">
      <c r="A25">
        <v>24</v>
      </c>
      <c r="B25">
        <v>-0.42837832925764019</v>
      </c>
      <c r="C25">
        <f t="shared" si="0"/>
        <v>-1.6832170733098313</v>
      </c>
      <c r="D25">
        <f t="shared" ca="1" si="2"/>
        <v>2.9810761456831214</v>
      </c>
      <c r="E25">
        <f t="shared" ca="1" si="2"/>
        <v>-0.58708219618799018</v>
      </c>
      <c r="F25">
        <f t="shared" ca="1" si="2"/>
        <v>5.8819290212301807</v>
      </c>
      <c r="G25">
        <f t="shared" ca="1" si="2"/>
        <v>4.2761490269350046</v>
      </c>
      <c r="H25">
        <f t="shared" ca="1" si="2"/>
        <v>-0.21743859204695792</v>
      </c>
      <c r="I25">
        <f t="shared" ca="1" si="2"/>
        <v>3.9851825314810325</v>
      </c>
      <c r="J25">
        <f t="shared" ca="1" si="2"/>
        <v>12.582009838587313</v>
      </c>
      <c r="K25">
        <f t="shared" ca="1" si="2"/>
        <v>-9.2249778839957326</v>
      </c>
      <c r="L25">
        <f t="shared" ca="1" si="2"/>
        <v>4.5310161638796016</v>
      </c>
      <c r="M25">
        <f t="shared" ca="1" si="2"/>
        <v>-12.830658023510606</v>
      </c>
      <c r="N25">
        <f t="shared" ca="1" si="2"/>
        <v>0.15452950061390669</v>
      </c>
      <c r="O25">
        <f t="shared" ca="1" si="2"/>
        <v>-1.7265382595024026</v>
      </c>
    </row>
    <row r="26" spans="1:15" x14ac:dyDescent="0.25">
      <c r="A26">
        <v>25</v>
      </c>
      <c r="B26">
        <v>-1.6749423780825907</v>
      </c>
      <c r="C26">
        <f t="shared" si="0"/>
        <v>-2.9297811221347816</v>
      </c>
      <c r="D26">
        <f t="shared" ca="1" si="2"/>
        <v>-1.6832170733098313</v>
      </c>
      <c r="E26">
        <f t="shared" ca="1" si="2"/>
        <v>2.9810761456831214</v>
      </c>
      <c r="F26">
        <f t="shared" ca="1" si="2"/>
        <v>-0.58708219618799018</v>
      </c>
      <c r="G26">
        <f t="shared" ca="1" si="2"/>
        <v>5.8819290212301807</v>
      </c>
      <c r="H26">
        <f t="shared" ca="1" si="2"/>
        <v>4.2761490269350046</v>
      </c>
      <c r="I26">
        <f t="shared" ca="1" si="2"/>
        <v>-0.21743859204695792</v>
      </c>
      <c r="J26">
        <f t="shared" ca="1" si="2"/>
        <v>3.9851825314810325</v>
      </c>
      <c r="K26">
        <f t="shared" ca="1" si="2"/>
        <v>12.582009838587313</v>
      </c>
      <c r="L26">
        <f t="shared" ca="1" si="2"/>
        <v>-9.2249778839957326</v>
      </c>
      <c r="M26">
        <f t="shared" ca="1" si="2"/>
        <v>4.5310161638796016</v>
      </c>
      <c r="N26">
        <f t="shared" ca="1" si="2"/>
        <v>-12.830658023510606</v>
      </c>
      <c r="O26">
        <f t="shared" ca="1" si="2"/>
        <v>0.15452950061390669</v>
      </c>
    </row>
    <row r="27" spans="1:15" x14ac:dyDescent="0.25">
      <c r="A27">
        <v>26</v>
      </c>
      <c r="B27">
        <v>15.507120194595473</v>
      </c>
      <c r="C27">
        <f t="shared" si="0"/>
        <v>14.252281450543281</v>
      </c>
      <c r="D27">
        <f t="shared" ca="1" si="2"/>
        <v>-2.9297811221347816</v>
      </c>
      <c r="E27">
        <f t="shared" ca="1" si="2"/>
        <v>-1.6832170733098313</v>
      </c>
      <c r="F27">
        <f t="shared" ca="1" si="2"/>
        <v>2.9810761456831214</v>
      </c>
      <c r="G27">
        <f t="shared" ca="1" si="2"/>
        <v>-0.58708219618799018</v>
      </c>
      <c r="H27">
        <f t="shared" ca="1" si="2"/>
        <v>5.8819290212301807</v>
      </c>
      <c r="I27">
        <f t="shared" ca="1" si="2"/>
        <v>4.2761490269350046</v>
      </c>
      <c r="J27">
        <f t="shared" ca="1" si="2"/>
        <v>-0.21743859204695792</v>
      </c>
      <c r="K27">
        <f t="shared" ca="1" si="2"/>
        <v>3.9851825314810325</v>
      </c>
      <c r="L27">
        <f t="shared" ca="1" si="2"/>
        <v>12.582009838587313</v>
      </c>
      <c r="M27">
        <f t="shared" ca="1" si="2"/>
        <v>-9.2249778839957326</v>
      </c>
      <c r="N27">
        <f t="shared" ca="1" si="2"/>
        <v>4.5310161638796016</v>
      </c>
      <c r="O27">
        <f t="shared" ca="1" si="2"/>
        <v>-12.830658023510606</v>
      </c>
    </row>
    <row r="28" spans="1:15" x14ac:dyDescent="0.25">
      <c r="A28">
        <v>27</v>
      </c>
      <c r="B28">
        <v>-4.213227907853593</v>
      </c>
      <c r="C28">
        <f t="shared" si="0"/>
        <v>-5.4680666519057839</v>
      </c>
      <c r="D28">
        <f t="shared" ca="1" si="2"/>
        <v>14.252281450543281</v>
      </c>
      <c r="E28">
        <f t="shared" ca="1" si="2"/>
        <v>-2.9297811221347816</v>
      </c>
      <c r="F28">
        <f t="shared" ca="1" si="2"/>
        <v>-1.6832170733098313</v>
      </c>
      <c r="G28">
        <f t="shared" ca="1" si="2"/>
        <v>2.9810761456831214</v>
      </c>
      <c r="H28">
        <f t="shared" ca="1" si="2"/>
        <v>-0.58708219618799018</v>
      </c>
      <c r="I28">
        <f t="shared" ca="1" si="2"/>
        <v>5.8819290212301807</v>
      </c>
      <c r="J28">
        <f t="shared" ca="1" si="2"/>
        <v>4.2761490269350046</v>
      </c>
      <c r="K28">
        <f t="shared" ca="1" si="2"/>
        <v>-0.21743859204695792</v>
      </c>
      <c r="L28">
        <f t="shared" ca="1" si="2"/>
        <v>3.9851825314810325</v>
      </c>
      <c r="M28">
        <f t="shared" ca="1" si="2"/>
        <v>12.582009838587313</v>
      </c>
      <c r="N28">
        <f t="shared" ca="1" si="2"/>
        <v>-9.2249778839957326</v>
      </c>
      <c r="O28">
        <f t="shared" ca="1" si="2"/>
        <v>4.5310161638796016</v>
      </c>
    </row>
    <row r="29" spans="1:15" x14ac:dyDescent="0.25">
      <c r="A29">
        <v>28</v>
      </c>
      <c r="B29">
        <v>12.336354669990584</v>
      </c>
      <c r="C29">
        <f t="shared" si="0"/>
        <v>11.081515925938392</v>
      </c>
      <c r="D29">
        <f t="shared" ca="1" si="2"/>
        <v>-5.4680666519057839</v>
      </c>
      <c r="E29">
        <f t="shared" ca="1" si="2"/>
        <v>14.252281450543281</v>
      </c>
      <c r="F29">
        <f t="shared" ca="1" si="2"/>
        <v>-2.9297811221347816</v>
      </c>
      <c r="G29">
        <f t="shared" ca="1" si="2"/>
        <v>-1.6832170733098313</v>
      </c>
      <c r="H29">
        <f t="shared" ca="1" si="2"/>
        <v>2.9810761456831214</v>
      </c>
      <c r="I29">
        <f t="shared" ca="1" si="2"/>
        <v>-0.58708219618799018</v>
      </c>
      <c r="J29">
        <f t="shared" ca="1" si="2"/>
        <v>5.8819290212301807</v>
      </c>
      <c r="K29">
        <f t="shared" ca="1" si="2"/>
        <v>4.2761490269350046</v>
      </c>
      <c r="L29">
        <f t="shared" ca="1" si="2"/>
        <v>-0.21743859204695792</v>
      </c>
      <c r="M29">
        <f t="shared" ca="1" si="2"/>
        <v>3.9851825314810325</v>
      </c>
      <c r="N29">
        <f t="shared" ca="1" si="2"/>
        <v>12.582009838587313</v>
      </c>
      <c r="O29">
        <f t="shared" ca="1" si="2"/>
        <v>-9.2249778839957326</v>
      </c>
    </row>
    <row r="30" spans="1:15" x14ac:dyDescent="0.25">
      <c r="A30">
        <v>29</v>
      </c>
      <c r="B30">
        <v>-11.903704974785882</v>
      </c>
      <c r="C30">
        <f t="shared" si="0"/>
        <v>-13.158543718838073</v>
      </c>
      <c r="D30">
        <f t="shared" ca="1" si="2"/>
        <v>11.081515925938392</v>
      </c>
      <c r="E30">
        <f t="shared" ca="1" si="2"/>
        <v>-5.4680666519057839</v>
      </c>
      <c r="F30">
        <f t="shared" ca="1" si="2"/>
        <v>14.252281450543281</v>
      </c>
      <c r="G30">
        <f t="shared" ca="1" si="2"/>
        <v>-2.9297811221347816</v>
      </c>
      <c r="H30">
        <f t="shared" ca="1" si="2"/>
        <v>-1.6832170733098313</v>
      </c>
      <c r="I30">
        <f t="shared" ca="1" si="2"/>
        <v>2.9810761456831214</v>
      </c>
      <c r="J30">
        <f t="shared" ca="1" si="2"/>
        <v>-0.58708219618799018</v>
      </c>
      <c r="K30">
        <f t="shared" ca="1" si="2"/>
        <v>5.8819290212301807</v>
      </c>
      <c r="L30">
        <f t="shared" ca="1" si="2"/>
        <v>4.2761490269350046</v>
      </c>
      <c r="M30">
        <f t="shared" ca="1" si="2"/>
        <v>-0.21743859204695792</v>
      </c>
      <c r="N30">
        <f t="shared" ca="1" si="2"/>
        <v>3.9851825314810325</v>
      </c>
      <c r="O30">
        <f t="shared" ca="1" si="2"/>
        <v>12.582009838587313</v>
      </c>
    </row>
    <row r="31" spans="1:15" x14ac:dyDescent="0.25">
      <c r="A31">
        <v>30</v>
      </c>
      <c r="B31">
        <v>0.3725680493575112</v>
      </c>
      <c r="C31">
        <f t="shared" si="0"/>
        <v>-0.88227069469467989</v>
      </c>
      <c r="D31">
        <f t="shared" ca="1" si="2"/>
        <v>-13.158543718838073</v>
      </c>
      <c r="E31">
        <f t="shared" ca="1" si="2"/>
        <v>11.081515925938392</v>
      </c>
      <c r="F31">
        <f t="shared" ca="1" si="2"/>
        <v>-5.4680666519057839</v>
      </c>
      <c r="G31">
        <f t="shared" ca="1" si="2"/>
        <v>14.252281450543281</v>
      </c>
      <c r="H31">
        <f t="shared" ca="1" si="2"/>
        <v>-2.9297811221347816</v>
      </c>
      <c r="I31">
        <f t="shared" ca="1" si="2"/>
        <v>-1.6832170733098313</v>
      </c>
      <c r="J31">
        <f t="shared" ca="1" si="2"/>
        <v>2.9810761456831214</v>
      </c>
      <c r="K31">
        <f t="shared" ca="1" si="2"/>
        <v>-0.58708219618799018</v>
      </c>
      <c r="L31">
        <f t="shared" ca="1" si="2"/>
        <v>5.8819290212301807</v>
      </c>
      <c r="M31">
        <f t="shared" ca="1" si="2"/>
        <v>4.2761490269350046</v>
      </c>
      <c r="N31">
        <f t="shared" ca="1" si="2"/>
        <v>-0.21743859204695792</v>
      </c>
      <c r="O31">
        <f t="shared" ca="1" si="2"/>
        <v>3.9851825314810325</v>
      </c>
    </row>
    <row r="32" spans="1:15" x14ac:dyDescent="0.25">
      <c r="A32">
        <v>31</v>
      </c>
      <c r="B32">
        <v>12.168747853854882</v>
      </c>
      <c r="C32">
        <f t="shared" si="0"/>
        <v>10.91390910980269</v>
      </c>
      <c r="D32">
        <f t="shared" ca="1" si="2"/>
        <v>-0.88227069469467989</v>
      </c>
      <c r="E32">
        <f t="shared" ca="1" si="2"/>
        <v>-13.158543718838073</v>
      </c>
      <c r="F32">
        <f t="shared" ca="1" si="2"/>
        <v>11.081515925938392</v>
      </c>
      <c r="G32">
        <f t="shared" ca="1" si="2"/>
        <v>-5.4680666519057839</v>
      </c>
      <c r="H32">
        <f t="shared" ca="1" si="2"/>
        <v>14.252281450543281</v>
      </c>
      <c r="I32">
        <f t="shared" ca="1" si="2"/>
        <v>-2.9297811221347816</v>
      </c>
      <c r="J32">
        <f t="shared" ca="1" si="2"/>
        <v>-1.6832170733098313</v>
      </c>
      <c r="K32">
        <f t="shared" ca="1" si="2"/>
        <v>2.9810761456831214</v>
      </c>
      <c r="L32">
        <f t="shared" ca="1" si="2"/>
        <v>-0.58708219618799018</v>
      </c>
      <c r="M32">
        <f t="shared" ca="1" si="2"/>
        <v>5.8819290212301807</v>
      </c>
      <c r="N32">
        <f t="shared" ca="1" si="2"/>
        <v>4.2761490269350046</v>
      </c>
      <c r="O32">
        <f t="shared" ca="1" si="2"/>
        <v>-0.21743859204695792</v>
      </c>
    </row>
    <row r="33" spans="1:15" x14ac:dyDescent="0.25">
      <c r="A33">
        <v>32</v>
      </c>
      <c r="B33">
        <v>0.25257016533009846</v>
      </c>
      <c r="C33">
        <f t="shared" si="0"/>
        <v>-1.0022685787220926</v>
      </c>
      <c r="D33">
        <f t="shared" ca="1" si="2"/>
        <v>10.91390910980269</v>
      </c>
      <c r="E33">
        <f t="shared" ca="1" si="2"/>
        <v>-0.88227069469467989</v>
      </c>
      <c r="F33">
        <f t="shared" ca="1" si="2"/>
        <v>-13.158543718838073</v>
      </c>
      <c r="G33">
        <f t="shared" ca="1" si="2"/>
        <v>11.081515925938392</v>
      </c>
      <c r="H33">
        <f t="shared" ca="1" si="2"/>
        <v>-5.4680666519057839</v>
      </c>
      <c r="I33">
        <f t="shared" ca="1" si="2"/>
        <v>14.252281450543281</v>
      </c>
      <c r="J33">
        <f t="shared" ca="1" si="2"/>
        <v>-2.9297811221347816</v>
      </c>
      <c r="K33">
        <f t="shared" ca="1" si="2"/>
        <v>-1.6832170733098313</v>
      </c>
      <c r="L33">
        <f t="shared" ca="1" si="2"/>
        <v>2.9810761456831214</v>
      </c>
      <c r="M33">
        <f t="shared" ca="1" si="2"/>
        <v>-0.58708219618799018</v>
      </c>
      <c r="N33">
        <f t="shared" ca="1" si="2"/>
        <v>5.8819290212301807</v>
      </c>
      <c r="O33">
        <f t="shared" ca="1" si="2"/>
        <v>4.2761490269350046</v>
      </c>
    </row>
    <row r="34" spans="1:15" x14ac:dyDescent="0.25">
      <c r="A34">
        <v>33</v>
      </c>
      <c r="B34">
        <v>-9.8892653265930903</v>
      </c>
      <c r="C34">
        <f t="shared" si="0"/>
        <v>-11.144104070645282</v>
      </c>
      <c r="D34">
        <f t="shared" ca="1" si="2"/>
        <v>-1.0022685787220926</v>
      </c>
      <c r="E34">
        <f t="shared" ca="1" si="2"/>
        <v>10.91390910980269</v>
      </c>
      <c r="F34">
        <f t="shared" ca="1" si="2"/>
        <v>-0.88227069469467989</v>
      </c>
      <c r="G34">
        <f t="shared" ca="1" si="2"/>
        <v>-13.158543718838073</v>
      </c>
      <c r="H34">
        <f t="shared" ca="1" si="2"/>
        <v>11.081515925938392</v>
      </c>
      <c r="I34">
        <f t="shared" ca="1" si="2"/>
        <v>-5.4680666519057839</v>
      </c>
      <c r="J34">
        <f t="shared" ca="1" si="2"/>
        <v>14.252281450543281</v>
      </c>
      <c r="K34">
        <f t="shared" ca="1" si="2"/>
        <v>-2.9297811221347816</v>
      </c>
      <c r="L34">
        <f t="shared" ca="1" si="2"/>
        <v>-1.6832170733098313</v>
      </c>
      <c r="M34">
        <f t="shared" ca="1" si="2"/>
        <v>2.9810761456831214</v>
      </c>
      <c r="N34">
        <f t="shared" ca="1" si="2"/>
        <v>-0.58708219618799018</v>
      </c>
      <c r="O34">
        <f t="shared" ca="1" si="2"/>
        <v>5.8819290212301807</v>
      </c>
    </row>
    <row r="35" spans="1:15" x14ac:dyDescent="0.25">
      <c r="A35">
        <v>34</v>
      </c>
      <c r="B35">
        <v>-14.691451382876068</v>
      </c>
      <c r="C35">
        <f t="shared" si="0"/>
        <v>-15.946290126928259</v>
      </c>
      <c r="D35">
        <f t="shared" ca="1" si="2"/>
        <v>-11.144104070645282</v>
      </c>
      <c r="E35">
        <f t="shared" ca="1" si="2"/>
        <v>-1.0022685787220926</v>
      </c>
      <c r="F35">
        <f t="shared" ca="1" si="2"/>
        <v>10.91390910980269</v>
      </c>
      <c r="G35">
        <f t="shared" ca="1" si="2"/>
        <v>-0.88227069469467989</v>
      </c>
      <c r="H35">
        <f t="shared" ca="1" si="2"/>
        <v>-13.158543718838073</v>
      </c>
      <c r="I35">
        <f t="shared" ca="1" si="2"/>
        <v>11.081515925938392</v>
      </c>
      <c r="J35">
        <f t="shared" ca="1" si="2"/>
        <v>-5.4680666519057839</v>
      </c>
      <c r="K35">
        <f t="shared" ca="1" si="2"/>
        <v>14.252281450543281</v>
      </c>
      <c r="L35">
        <f t="shared" ca="1" si="2"/>
        <v>-2.9297811221347816</v>
      </c>
      <c r="M35">
        <f t="shared" ca="1" si="2"/>
        <v>-1.6832170733098313</v>
      </c>
      <c r="N35">
        <f t="shared" ca="1" si="2"/>
        <v>2.9810761456831214</v>
      </c>
      <c r="O35">
        <f t="shared" ca="1" si="2"/>
        <v>-0.58708219618799018</v>
      </c>
    </row>
    <row r="36" spans="1:15" x14ac:dyDescent="0.25">
      <c r="A36">
        <v>35</v>
      </c>
      <c r="B36">
        <v>26.028280791162928</v>
      </c>
      <c r="C36">
        <f t="shared" si="0"/>
        <v>24.773442047110738</v>
      </c>
      <c r="D36">
        <f t="shared" ca="1" si="2"/>
        <v>-15.946290126928259</v>
      </c>
      <c r="E36">
        <f t="shared" ca="1" si="2"/>
        <v>-11.144104070645282</v>
      </c>
      <c r="F36">
        <f t="shared" ca="1" si="2"/>
        <v>-1.0022685787220926</v>
      </c>
      <c r="G36">
        <f t="shared" ca="1" si="2"/>
        <v>10.91390910980269</v>
      </c>
      <c r="H36">
        <f t="shared" ca="1" si="2"/>
        <v>-0.88227069469467989</v>
      </c>
      <c r="I36">
        <f t="shared" ca="1" si="2"/>
        <v>-13.158543718838073</v>
      </c>
      <c r="J36">
        <f t="shared" ca="1" si="2"/>
        <v>11.081515925938392</v>
      </c>
      <c r="K36">
        <f t="shared" ca="1" si="2"/>
        <v>-5.4680666519057839</v>
      </c>
      <c r="L36">
        <f t="shared" ca="1" si="2"/>
        <v>14.252281450543281</v>
      </c>
      <c r="M36">
        <f t="shared" ca="1" si="2"/>
        <v>-2.9297811221347816</v>
      </c>
      <c r="N36">
        <f t="shared" ca="1" si="2"/>
        <v>-1.6832170733098313</v>
      </c>
      <c r="O36">
        <f t="shared" ca="1" si="2"/>
        <v>2.9810761456831214</v>
      </c>
    </row>
    <row r="37" spans="1:15" x14ac:dyDescent="0.25">
      <c r="A37">
        <v>36</v>
      </c>
      <c r="B37">
        <v>16.30517705591609</v>
      </c>
      <c r="C37">
        <f t="shared" si="0"/>
        <v>15.050338311863898</v>
      </c>
      <c r="D37">
        <f t="shared" ca="1" si="2"/>
        <v>24.773442047110738</v>
      </c>
      <c r="E37">
        <f t="shared" ca="1" si="2"/>
        <v>-15.946290126928259</v>
      </c>
      <c r="F37">
        <f t="shared" ca="1" si="2"/>
        <v>-11.144104070645282</v>
      </c>
      <c r="G37">
        <f t="shared" ca="1" si="2"/>
        <v>-1.0022685787220926</v>
      </c>
      <c r="H37">
        <f t="shared" ca="1" si="2"/>
        <v>10.91390910980269</v>
      </c>
      <c r="I37">
        <f t="shared" ca="1" si="2"/>
        <v>-0.88227069469467989</v>
      </c>
      <c r="J37">
        <f t="shared" ca="1" si="2"/>
        <v>-13.158543718838073</v>
      </c>
      <c r="K37">
        <f t="shared" ca="1" si="2"/>
        <v>11.081515925938392</v>
      </c>
      <c r="L37">
        <f t="shared" ca="1" si="2"/>
        <v>-5.4680666519057839</v>
      </c>
      <c r="M37">
        <f t="shared" ca="1" si="2"/>
        <v>14.252281450543281</v>
      </c>
      <c r="N37">
        <f t="shared" ca="1" si="2"/>
        <v>-2.9297811221347816</v>
      </c>
      <c r="O37">
        <f t="shared" ca="1" si="2"/>
        <v>-1.6832170733098313</v>
      </c>
    </row>
    <row r="38" spans="1:15" x14ac:dyDescent="0.25">
      <c r="B38">
        <f>AVERAGE(B2:B37)</f>
        <v>1.2548387440521911</v>
      </c>
      <c r="C38">
        <f>SUMPRODUCT($C2:$C37,C2:C37)</f>
        <v>3493.9781739499404</v>
      </c>
      <c r="D38">
        <f t="shared" ref="D38:O38" ca="1" si="3">SUMPRODUCT($C2:$C37,D2:D37)</f>
        <v>-42.235160016456746</v>
      </c>
      <c r="E38">
        <f t="shared" ca="1" si="3"/>
        <v>-231.58255422912032</v>
      </c>
      <c r="F38">
        <f t="shared" ca="1" si="3"/>
        <v>-285.98123314735318</v>
      </c>
      <c r="G38">
        <f t="shared" ca="1" si="3"/>
        <v>699.18221435114151</v>
      </c>
      <c r="H38">
        <f t="shared" ca="1" si="3"/>
        <v>796.19463510705884</v>
      </c>
      <c r="I38">
        <f t="shared" ca="1" si="3"/>
        <v>-370.47217083170898</v>
      </c>
      <c r="J38">
        <f t="shared" ca="1" si="3"/>
        <v>-6.0387054906482263</v>
      </c>
      <c r="K38">
        <f t="shared" ca="1" si="3"/>
        <v>-292.07632865438109</v>
      </c>
      <c r="L38">
        <f t="shared" ca="1" si="3"/>
        <v>383.86397247118674</v>
      </c>
      <c r="M38">
        <f t="shared" ca="1" si="3"/>
        <v>-168.44094120113732</v>
      </c>
      <c r="N38">
        <f t="shared" ca="1" si="3"/>
        <v>288.01684328729863</v>
      </c>
      <c r="O38">
        <f t="shared" ca="1" si="3"/>
        <v>-755.27543617393042</v>
      </c>
    </row>
    <row r="40" spans="1:15" x14ac:dyDescent="0.25">
      <c r="C40" t="s">
        <v>11</v>
      </c>
      <c r="D40">
        <f t="shared" ref="D40:O40" ca="1" si="4">D38/$C38</f>
        <v>-1.2087986219075296E-2</v>
      </c>
      <c r="E40">
        <f t="shared" ca="1" si="4"/>
        <v>-6.6280481073330913E-2</v>
      </c>
      <c r="F40">
        <f t="shared" ca="1" si="4"/>
        <v>-8.184974802634544E-2</v>
      </c>
      <c r="G40">
        <f t="shared" ca="1" si="4"/>
        <v>0.20011064166457468</v>
      </c>
      <c r="H40">
        <f t="shared" ca="1" si="4"/>
        <v>0.22787624749440299</v>
      </c>
      <c r="I40">
        <f t="shared" ca="1" si="4"/>
        <v>-0.1060316213746952</v>
      </c>
      <c r="J40">
        <f t="shared" ca="1" si="4"/>
        <v>-1.7283180346319889E-3</v>
      </c>
      <c r="K40">
        <f t="shared" ca="1" si="4"/>
        <v>-8.3594205262074936E-2</v>
      </c>
      <c r="L40">
        <f t="shared" ca="1" si="4"/>
        <v>0.10986444487065262</v>
      </c>
      <c r="M40">
        <f t="shared" ca="1" si="4"/>
        <v>-4.8208927707958441E-2</v>
      </c>
      <c r="N40">
        <f t="shared" ca="1" si="4"/>
        <v>8.243235330851989E-2</v>
      </c>
      <c r="O40">
        <f t="shared" ca="1" si="4"/>
        <v>-0.2161648981682367</v>
      </c>
    </row>
    <row r="41" spans="1:15" x14ac:dyDescent="0.25">
      <c r="C41" t="s">
        <v>26</v>
      </c>
      <c r="D41">
        <f>2/SQRT(36)</f>
        <v>0.33333333333333331</v>
      </c>
      <c r="E41">
        <f t="shared" ref="E41:O41" si="5">2/SQRT(36)</f>
        <v>0.33333333333333331</v>
      </c>
      <c r="F41">
        <f t="shared" si="5"/>
        <v>0.33333333333333331</v>
      </c>
      <c r="G41">
        <f t="shared" si="5"/>
        <v>0.33333333333333331</v>
      </c>
      <c r="H41">
        <f t="shared" si="5"/>
        <v>0.33333333333333331</v>
      </c>
      <c r="I41">
        <f t="shared" si="5"/>
        <v>0.33333333333333331</v>
      </c>
      <c r="J41">
        <f t="shared" si="5"/>
        <v>0.33333333333333331</v>
      </c>
      <c r="K41">
        <f t="shared" si="5"/>
        <v>0.33333333333333331</v>
      </c>
      <c r="L41">
        <f t="shared" si="5"/>
        <v>0.33333333333333331</v>
      </c>
      <c r="M41">
        <f t="shared" si="5"/>
        <v>0.33333333333333331</v>
      </c>
      <c r="N41">
        <f t="shared" si="5"/>
        <v>0.33333333333333331</v>
      </c>
      <c r="O41">
        <f t="shared" si="5"/>
        <v>0.33333333333333331</v>
      </c>
    </row>
    <row r="42" spans="1:15" x14ac:dyDescent="0.25">
      <c r="C42" t="s">
        <v>27</v>
      </c>
      <c r="D42">
        <f>-2/SQRT(36)</f>
        <v>-0.33333333333333331</v>
      </c>
      <c r="E42">
        <f t="shared" ref="E42:N42" si="6">-2/SQRT(36)</f>
        <v>-0.33333333333333331</v>
      </c>
      <c r="F42">
        <f t="shared" si="6"/>
        <v>-0.33333333333333331</v>
      </c>
      <c r="G42">
        <f t="shared" si="6"/>
        <v>-0.33333333333333331</v>
      </c>
      <c r="H42">
        <f t="shared" si="6"/>
        <v>-0.33333333333333331</v>
      </c>
      <c r="I42">
        <f t="shared" si="6"/>
        <v>-0.33333333333333331</v>
      </c>
      <c r="J42">
        <f t="shared" si="6"/>
        <v>-0.33333333333333331</v>
      </c>
      <c r="K42">
        <f t="shared" si="6"/>
        <v>-0.33333333333333331</v>
      </c>
      <c r="L42">
        <f t="shared" si="6"/>
        <v>-0.33333333333333331</v>
      </c>
      <c r="M42">
        <f t="shared" si="6"/>
        <v>-0.33333333333333331</v>
      </c>
      <c r="N42">
        <f t="shared" si="6"/>
        <v>-0.33333333333333331</v>
      </c>
      <c r="O42">
        <f>-2/SQRT(36)</f>
        <v>-0.33333333333333331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70"/>
  <sheetViews>
    <sheetView workbookViewId="0">
      <pane ySplit="4" topLeftCell="A5" activePane="bottomLeft" state="frozen"/>
      <selection activeCell="O15" sqref="O15"/>
      <selection pane="bottomLeft"/>
    </sheetView>
  </sheetViews>
  <sheetFormatPr defaultColWidth="11" defaultRowHeight="15.75" x14ac:dyDescent="0.25"/>
  <sheetData>
    <row r="1" spans="1:8" ht="63" x14ac:dyDescent="0.25">
      <c r="A1" s="1" t="s">
        <v>14</v>
      </c>
      <c r="B1" s="1"/>
      <c r="C1" s="1" t="s">
        <v>15</v>
      </c>
      <c r="D1" s="1" t="s">
        <v>16</v>
      </c>
      <c r="E1" s="1" t="s">
        <v>18</v>
      </c>
      <c r="G1" s="1" t="s">
        <v>8</v>
      </c>
      <c r="H1" s="1" t="s">
        <v>9</v>
      </c>
    </row>
    <row r="2" spans="1:8" x14ac:dyDescent="0.25">
      <c r="A2">
        <v>36</v>
      </c>
      <c r="C2">
        <v>0.30719534245274682</v>
      </c>
      <c r="D2">
        <v>0.22854493358760408</v>
      </c>
      <c r="E2">
        <v>0</v>
      </c>
      <c r="G2">
        <f>SUM(H17:H52)</f>
        <v>3550.6648918906594</v>
      </c>
      <c r="H2">
        <f>SQRT(G2/(36-3))</f>
        <v>10.372844634663554</v>
      </c>
    </row>
    <row r="4" spans="1:8" s="1" customFormat="1" ht="31.5" x14ac:dyDescent="0.25">
      <c r="A4" s="1" t="s">
        <v>1</v>
      </c>
      <c r="B4" s="1" t="s">
        <v>3</v>
      </c>
      <c r="C4" s="1" t="s">
        <v>12</v>
      </c>
      <c r="D4" s="1" t="s">
        <v>13</v>
      </c>
      <c r="E4" s="1" t="s">
        <v>17</v>
      </c>
      <c r="F4" s="1" t="s">
        <v>5</v>
      </c>
      <c r="G4" s="1" t="s">
        <v>6</v>
      </c>
      <c r="H4" s="1" t="s">
        <v>7</v>
      </c>
    </row>
    <row r="5" spans="1:8" x14ac:dyDescent="0.25">
      <c r="A5" s="4">
        <v>-11</v>
      </c>
      <c r="B5" s="4"/>
      <c r="C5" s="4"/>
      <c r="D5" s="4"/>
      <c r="E5" s="4">
        <v>0.98823339924446252</v>
      </c>
      <c r="F5" s="4"/>
      <c r="G5" s="4"/>
      <c r="H5" s="4"/>
    </row>
    <row r="6" spans="1:8" x14ac:dyDescent="0.25">
      <c r="A6" s="4">
        <v>-10</v>
      </c>
      <c r="B6" s="4"/>
      <c r="C6" s="4"/>
      <c r="D6" s="4"/>
      <c r="E6" s="4">
        <v>1.0394595142086607</v>
      </c>
      <c r="F6" s="4"/>
      <c r="G6" s="4"/>
      <c r="H6" s="4"/>
    </row>
    <row r="7" spans="1:8" x14ac:dyDescent="0.25">
      <c r="A7" s="4">
        <v>-9</v>
      </c>
      <c r="B7" s="4"/>
      <c r="C7" s="4"/>
      <c r="D7" s="4"/>
      <c r="E7" s="4">
        <v>0.93293329171244777</v>
      </c>
      <c r="F7" s="4"/>
      <c r="G7" s="4"/>
      <c r="H7" s="4"/>
    </row>
    <row r="8" spans="1:8" x14ac:dyDescent="0.25">
      <c r="A8" s="4">
        <v>-8</v>
      </c>
      <c r="B8" s="4"/>
      <c r="C8" s="4"/>
      <c r="D8" s="4"/>
      <c r="E8" s="4">
        <v>0.91259775591054715</v>
      </c>
      <c r="F8" s="4"/>
      <c r="G8" s="4"/>
      <c r="H8" s="4"/>
    </row>
    <row r="9" spans="1:8" x14ac:dyDescent="0.25">
      <c r="A9" s="4">
        <v>-7</v>
      </c>
      <c r="B9" s="4"/>
      <c r="C9" s="4"/>
      <c r="D9" s="4"/>
      <c r="E9" s="4">
        <v>1.0430106047420362</v>
      </c>
      <c r="F9" s="4"/>
      <c r="G9" s="4"/>
      <c r="H9" s="4"/>
    </row>
    <row r="10" spans="1:8" x14ac:dyDescent="0.25">
      <c r="A10" s="4">
        <v>-6</v>
      </c>
      <c r="B10" s="4"/>
      <c r="C10" s="4"/>
      <c r="D10" s="4"/>
      <c r="E10" s="4">
        <v>0.90644245153667458</v>
      </c>
      <c r="F10" s="4"/>
      <c r="G10" s="4"/>
      <c r="H10" s="4"/>
    </row>
    <row r="11" spans="1:8" x14ac:dyDescent="0.25">
      <c r="A11" s="4">
        <v>-5</v>
      </c>
      <c r="B11" s="4"/>
      <c r="C11" s="4"/>
      <c r="D11" s="4"/>
      <c r="E11" s="4">
        <v>0.92083758937691518</v>
      </c>
      <c r="F11" s="4"/>
      <c r="G11" s="4"/>
      <c r="H11" s="4"/>
    </row>
    <row r="12" spans="1:8" x14ac:dyDescent="0.25">
      <c r="A12" s="4">
        <v>-4</v>
      </c>
      <c r="B12" s="4"/>
      <c r="C12" s="4"/>
      <c r="D12" s="4"/>
      <c r="E12" s="4">
        <v>0.92662094367181047</v>
      </c>
      <c r="F12" s="4"/>
      <c r="G12" s="4"/>
      <c r="H12" s="4"/>
    </row>
    <row r="13" spans="1:8" x14ac:dyDescent="0.25">
      <c r="A13" s="4">
        <v>-3</v>
      </c>
      <c r="B13" s="4"/>
      <c r="C13" s="4"/>
      <c r="D13" s="4"/>
      <c r="E13" s="4">
        <v>0.98849075287229571</v>
      </c>
      <c r="F13" s="4"/>
      <c r="G13" s="4"/>
      <c r="H13" s="4"/>
    </row>
    <row r="14" spans="1:8" x14ac:dyDescent="0.25">
      <c r="A14" s="4">
        <v>-2</v>
      </c>
      <c r="B14" s="4"/>
      <c r="C14" s="4"/>
      <c r="D14" s="4"/>
      <c r="E14" s="4">
        <v>1.0162014531884298</v>
      </c>
      <c r="F14" s="4"/>
      <c r="G14" s="4"/>
      <c r="H14" s="4"/>
    </row>
    <row r="15" spans="1:8" x14ac:dyDescent="0.25">
      <c r="A15" s="4">
        <v>-1</v>
      </c>
      <c r="B15" s="4"/>
      <c r="C15" s="4"/>
      <c r="D15" s="4"/>
      <c r="E15" s="4">
        <v>1.0480526558060541</v>
      </c>
      <c r="F15" s="4"/>
      <c r="G15" s="4"/>
      <c r="H15" s="4"/>
    </row>
    <row r="16" spans="1:8" x14ac:dyDescent="0.25">
      <c r="A16" s="4">
        <v>0</v>
      </c>
      <c r="B16" s="4"/>
      <c r="C16" s="4">
        <v>144.41999999999999</v>
      </c>
      <c r="D16" s="7">
        <v>2.2094999999999998</v>
      </c>
      <c r="E16" s="4">
        <v>1.2040049076184032</v>
      </c>
      <c r="F16" s="4"/>
      <c r="G16" s="4"/>
      <c r="H16" s="4"/>
    </row>
    <row r="17" spans="1:8" x14ac:dyDescent="0.25">
      <c r="A17">
        <v>1</v>
      </c>
      <c r="B17">
        <v>165</v>
      </c>
      <c r="C17">
        <f>C16+D16+C$2*G17/E5</f>
        <v>152.87634980768607</v>
      </c>
      <c r="D17">
        <f>D16+D$2*C$2*G17/E5</f>
        <v>3.6371858744293553</v>
      </c>
      <c r="E17" s="4">
        <f>E5+E$2*(1-C$2)*G17/(C16+D16)</f>
        <v>0.98823339924446252</v>
      </c>
      <c r="F17">
        <f>(C16+D16)*E5</f>
        <v>144.90416921451589</v>
      </c>
      <c r="G17">
        <f>B17-F17</f>
        <v>20.095830785484111</v>
      </c>
      <c r="H17">
        <f>G17^2</f>
        <v>403.84241495881093</v>
      </c>
    </row>
    <row r="18" spans="1:8" x14ac:dyDescent="0.25">
      <c r="A18">
        <v>2</v>
      </c>
      <c r="B18">
        <v>171</v>
      </c>
      <c r="C18">
        <f t="shared" ref="C18:C52" si="0">C17+D17+C$2*G18/E6</f>
        <v>158.96957350291896</v>
      </c>
      <c r="D18">
        <f t="shared" ref="D18:D52" si="1">D17+D$2*C$2*G18/E6</f>
        <v>4.1985008750735453</v>
      </c>
      <c r="E18" s="4">
        <f t="shared" ref="E18:E64" si="2">E6+E$2*(1-C$2)*G18/(C17+D17)</f>
        <v>1.0394595142086607</v>
      </c>
      <c r="F18">
        <f t="shared" ref="F18:F52" si="3">(C17+D17)*E6</f>
        <v>162.68948376721158</v>
      </c>
      <c r="G18">
        <f t="shared" ref="G18:G52" si="4">B18-F18</f>
        <v>8.3105162327884159</v>
      </c>
      <c r="H18">
        <f t="shared" ref="H18:H52" si="5">G18^2</f>
        <v>69.064680055439766</v>
      </c>
    </row>
    <row r="19" spans="1:8" x14ac:dyDescent="0.25">
      <c r="A19">
        <v>3</v>
      </c>
      <c r="B19">
        <v>147</v>
      </c>
      <c r="C19">
        <f t="shared" si="0"/>
        <v>161.4476150639903</v>
      </c>
      <c r="D19">
        <f t="shared" si="1"/>
        <v>3.8052986154147366</v>
      </c>
      <c r="E19" s="4">
        <f t="shared" si="2"/>
        <v>0.93293329171244777</v>
      </c>
      <c r="F19">
        <f t="shared" si="3"/>
        <v>152.22492873184206</v>
      </c>
      <c r="G19">
        <f t="shared" si="4"/>
        <v>-5.2249287318420556</v>
      </c>
      <c r="H19">
        <f t="shared" si="5"/>
        <v>27.299880252828633</v>
      </c>
    </row>
    <row r="20" spans="1:8" x14ac:dyDescent="0.25">
      <c r="A20">
        <v>4</v>
      </c>
      <c r="B20">
        <v>143</v>
      </c>
      <c r="C20">
        <f t="shared" si="0"/>
        <v>162.62412895909068</v>
      </c>
      <c r="D20">
        <f t="shared" si="1"/>
        <v>3.2045031860943887</v>
      </c>
      <c r="E20" s="4">
        <f t="shared" si="2"/>
        <v>0.91259775591054715</v>
      </c>
      <c r="F20">
        <f t="shared" si="3"/>
        <v>150.80943818150439</v>
      </c>
      <c r="G20">
        <f t="shared" si="4"/>
        <v>-7.8094381815043903</v>
      </c>
      <c r="H20">
        <f t="shared" si="5"/>
        <v>60.987324710738598</v>
      </c>
    </row>
    <row r="21" spans="1:8" x14ac:dyDescent="0.25">
      <c r="A21">
        <v>5</v>
      </c>
      <c r="B21">
        <v>164</v>
      </c>
      <c r="C21">
        <f t="shared" si="0"/>
        <v>163.18936445418527</v>
      </c>
      <c r="D21">
        <f t="shared" si="1"/>
        <v>2.6013119269349252</v>
      </c>
      <c r="E21" s="4">
        <f t="shared" si="2"/>
        <v>1.0430106047420362</v>
      </c>
      <c r="F21">
        <f t="shared" si="3"/>
        <v>172.96102189729416</v>
      </c>
      <c r="G21">
        <f t="shared" si="4"/>
        <v>-8.9610218972941595</v>
      </c>
      <c r="H21">
        <f t="shared" si="5"/>
        <v>80.299913443785414</v>
      </c>
    </row>
    <row r="22" spans="1:8" x14ac:dyDescent="0.25">
      <c r="A22">
        <v>6</v>
      </c>
      <c r="B22">
        <v>160</v>
      </c>
      <c r="C22">
        <f t="shared" si="0"/>
        <v>169.08490503132603</v>
      </c>
      <c r="D22">
        <f t="shared" si="1"/>
        <v>3.3541911950186014</v>
      </c>
      <c r="E22" s="4">
        <f t="shared" si="2"/>
        <v>0.90644245153667458</v>
      </c>
      <c r="F22">
        <f t="shared" si="3"/>
        <v>150.27970714082605</v>
      </c>
      <c r="G22">
        <f t="shared" si="4"/>
        <v>9.7202928591739521</v>
      </c>
      <c r="H22">
        <f t="shared" si="5"/>
        <v>94.484093268108126</v>
      </c>
    </row>
    <row r="23" spans="1:8" x14ac:dyDescent="0.25">
      <c r="A23">
        <v>7</v>
      </c>
      <c r="B23">
        <v>152</v>
      </c>
      <c r="C23">
        <f t="shared" si="0"/>
        <v>170.17445650714046</v>
      </c>
      <c r="D23">
        <f t="shared" si="1"/>
        <v>2.8366192607932281</v>
      </c>
      <c r="E23" s="4">
        <f t="shared" si="2"/>
        <v>0.92083758937691518</v>
      </c>
      <c r="F23">
        <f t="shared" si="3"/>
        <v>158.7884016834011</v>
      </c>
      <c r="G23">
        <f t="shared" si="4"/>
        <v>-6.7884016834011049</v>
      </c>
      <c r="H23">
        <f t="shared" si="5"/>
        <v>46.082397415202955</v>
      </c>
    </row>
    <row r="24" spans="1:8" x14ac:dyDescent="0.25">
      <c r="A24">
        <v>8</v>
      </c>
      <c r="B24">
        <v>150</v>
      </c>
      <c r="C24">
        <f t="shared" si="0"/>
        <v>169.59119754773192</v>
      </c>
      <c r="D24">
        <f t="shared" si="1"/>
        <v>2.0550234200795185</v>
      </c>
      <c r="E24" s="4">
        <f t="shared" si="2"/>
        <v>0.92662094367181047</v>
      </c>
      <c r="F24">
        <f t="shared" si="3"/>
        <v>160.31568629375784</v>
      </c>
      <c r="G24">
        <f t="shared" si="4"/>
        <v>-10.315686293757835</v>
      </c>
      <c r="H24">
        <f t="shared" si="5"/>
        <v>106.41338371122326</v>
      </c>
    </row>
    <row r="25" spans="1:8" x14ac:dyDescent="0.25">
      <c r="A25">
        <v>9</v>
      </c>
      <c r="B25">
        <v>159</v>
      </c>
      <c r="C25">
        <f t="shared" si="0"/>
        <v>168.33006448925485</v>
      </c>
      <c r="D25">
        <f t="shared" si="1"/>
        <v>1.297132657921698</v>
      </c>
      <c r="E25" s="4">
        <f t="shared" si="2"/>
        <v>0.98849075287229571</v>
      </c>
      <c r="F25">
        <f t="shared" si="3"/>
        <v>169.67070219215637</v>
      </c>
      <c r="G25">
        <f t="shared" si="4"/>
        <v>-10.670702192156369</v>
      </c>
      <c r="H25">
        <f t="shared" si="5"/>
        <v>113.86388527369074</v>
      </c>
    </row>
    <row r="26" spans="1:8" x14ac:dyDescent="0.25">
      <c r="A26">
        <v>10</v>
      </c>
      <c r="B26">
        <v>169</v>
      </c>
      <c r="C26">
        <f t="shared" si="0"/>
        <v>168.60682027352507</v>
      </c>
      <c r="D26">
        <f t="shared" si="1"/>
        <v>1.0639306930986914</v>
      </c>
      <c r="E26" s="4">
        <f t="shared" si="2"/>
        <v>1.0162014531884298</v>
      </c>
      <c r="F26">
        <f t="shared" si="3"/>
        <v>172.37540424124109</v>
      </c>
      <c r="G26">
        <f t="shared" si="4"/>
        <v>-3.3754042412410854</v>
      </c>
      <c r="H26">
        <f t="shared" si="5"/>
        <v>11.393353791788307</v>
      </c>
    </row>
    <row r="27" spans="1:8" x14ac:dyDescent="0.25">
      <c r="A27">
        <v>11</v>
      </c>
      <c r="B27">
        <v>173</v>
      </c>
      <c r="C27">
        <f t="shared" si="0"/>
        <v>168.25682026603886</v>
      </c>
      <c r="D27">
        <f t="shared" si="1"/>
        <v>0.74078399503604264</v>
      </c>
      <c r="E27" s="4">
        <f t="shared" si="2"/>
        <v>1.0480526558060541</v>
      </c>
      <c r="F27">
        <f t="shared" si="3"/>
        <v>177.82388116317765</v>
      </c>
      <c r="G27">
        <f t="shared" si="4"/>
        <v>-4.8238811631776457</v>
      </c>
      <c r="H27">
        <f t="shared" si="5"/>
        <v>23.269829476460117</v>
      </c>
    </row>
    <row r="28" spans="1:8" x14ac:dyDescent="0.25">
      <c r="A28">
        <v>12</v>
      </c>
      <c r="B28">
        <v>203</v>
      </c>
      <c r="C28">
        <f t="shared" si="0"/>
        <v>168.87667978077764</v>
      </c>
      <c r="D28">
        <f t="shared" si="1"/>
        <v>0.7131473177173876</v>
      </c>
      <c r="E28" s="4">
        <f t="shared" si="2"/>
        <v>1.2040049076184032</v>
      </c>
      <c r="F28">
        <f t="shared" si="3"/>
        <v>203.47394490608696</v>
      </c>
      <c r="G28">
        <f t="shared" si="4"/>
        <v>-0.47394490608695605</v>
      </c>
      <c r="H28">
        <f t="shared" si="5"/>
        <v>0.2246237740057736</v>
      </c>
    </row>
    <row r="29" spans="1:8" x14ac:dyDescent="0.25">
      <c r="A29">
        <v>13</v>
      </c>
      <c r="B29">
        <v>169</v>
      </c>
      <c r="C29">
        <f t="shared" si="0"/>
        <v>170.0267834639406</v>
      </c>
      <c r="D29">
        <f t="shared" si="1"/>
        <v>0.81301148123882838</v>
      </c>
      <c r="E29" s="4">
        <f t="shared" si="2"/>
        <v>0.98823339924446252</v>
      </c>
      <c r="F29">
        <f t="shared" si="3"/>
        <v>167.59433131082639</v>
      </c>
      <c r="G29">
        <f t="shared" si="4"/>
        <v>1.4056686891736092</v>
      </c>
      <c r="H29">
        <f t="shared" si="5"/>
        <v>1.9759044637230527</v>
      </c>
    </row>
    <row r="30" spans="1:8" x14ac:dyDescent="0.25">
      <c r="A30">
        <v>14</v>
      </c>
      <c r="B30">
        <v>166</v>
      </c>
      <c r="C30">
        <f t="shared" si="0"/>
        <v>167.41720401948336</v>
      </c>
      <c r="D30">
        <f t="shared" si="1"/>
        <v>3.0795665428086538E-2</v>
      </c>
      <c r="E30" s="4">
        <f t="shared" si="2"/>
        <v>1.0394595142086607</v>
      </c>
      <c r="F30">
        <f t="shared" si="3"/>
        <v>177.5810502612234</v>
      </c>
      <c r="G30">
        <f t="shared" si="4"/>
        <v>-11.581050261223396</v>
      </c>
      <c r="H30">
        <f t="shared" si="5"/>
        <v>134.12072515298249</v>
      </c>
    </row>
    <row r="31" spans="1:8" x14ac:dyDescent="0.25">
      <c r="A31">
        <v>15</v>
      </c>
      <c r="B31">
        <v>162</v>
      </c>
      <c r="C31">
        <f t="shared" si="0"/>
        <v>169.35195226811896</v>
      </c>
      <c r="D31">
        <f t="shared" si="1"/>
        <v>0.46593438211119659</v>
      </c>
      <c r="E31" s="4">
        <f t="shared" si="2"/>
        <v>0.93293329171244777</v>
      </c>
      <c r="F31">
        <f t="shared" si="3"/>
        <v>156.21781353670934</v>
      </c>
      <c r="G31">
        <f t="shared" si="4"/>
        <v>5.7821864632906568</v>
      </c>
      <c r="H31">
        <f t="shared" si="5"/>
        <v>33.433680296261713</v>
      </c>
    </row>
    <row r="32" spans="1:8" x14ac:dyDescent="0.25">
      <c r="A32">
        <v>16</v>
      </c>
      <c r="B32">
        <v>147</v>
      </c>
      <c r="C32">
        <f t="shared" si="0"/>
        <v>167.13322896866669</v>
      </c>
      <c r="D32">
        <f t="shared" si="1"/>
        <v>-0.14763052942717431</v>
      </c>
      <c r="E32" s="4">
        <f t="shared" si="2"/>
        <v>0.91259775591054715</v>
      </c>
      <c r="F32">
        <f t="shared" si="3"/>
        <v>154.97542227047171</v>
      </c>
      <c r="G32">
        <f t="shared" si="4"/>
        <v>-7.9754222704717108</v>
      </c>
      <c r="H32">
        <f t="shared" si="5"/>
        <v>63.60736039233614</v>
      </c>
    </row>
    <row r="33" spans="1:8" x14ac:dyDescent="0.25">
      <c r="A33">
        <v>17</v>
      </c>
      <c r="B33">
        <v>188</v>
      </c>
      <c r="C33">
        <f t="shared" si="0"/>
        <v>171.05957693269391</v>
      </c>
      <c r="D33">
        <f t="shared" si="1"/>
        <v>0.78345661479669104</v>
      </c>
      <c r="E33" s="4">
        <f t="shared" si="2"/>
        <v>1.0430106047420362</v>
      </c>
      <c r="F33">
        <f t="shared" si="3"/>
        <v>174.16775001132203</v>
      </c>
      <c r="G33">
        <f t="shared" si="4"/>
        <v>13.832249988677972</v>
      </c>
      <c r="H33">
        <f t="shared" si="5"/>
        <v>191.33113974928176</v>
      </c>
    </row>
    <row r="34" spans="1:8" x14ac:dyDescent="0.25">
      <c r="A34">
        <v>18</v>
      </c>
      <c r="B34">
        <v>161</v>
      </c>
      <c r="C34">
        <f t="shared" si="0"/>
        <v>173.61690846693057</v>
      </c>
      <c r="D34">
        <f t="shared" si="1"/>
        <v>1.1888667404528095</v>
      </c>
      <c r="E34" s="4">
        <f t="shared" si="2"/>
        <v>0.90644245153667458</v>
      </c>
      <c r="F34">
        <f t="shared" si="3"/>
        <v>155.76582060828642</v>
      </c>
      <c r="G34">
        <f t="shared" si="4"/>
        <v>5.2341793917135817</v>
      </c>
      <c r="H34">
        <f t="shared" si="5"/>
        <v>27.39663390463916</v>
      </c>
    </row>
    <row r="35" spans="1:8" x14ac:dyDescent="0.25">
      <c r="A35">
        <v>19</v>
      </c>
      <c r="B35">
        <v>162</v>
      </c>
      <c r="C35">
        <f t="shared" si="0"/>
        <v>175.15014532669497</v>
      </c>
      <c r="D35">
        <f t="shared" si="1"/>
        <v>1.2675707865004322</v>
      </c>
      <c r="E35" s="4">
        <f t="shared" si="2"/>
        <v>0.92083758937691518</v>
      </c>
      <c r="F35">
        <f t="shared" si="3"/>
        <v>160.96772865112985</v>
      </c>
      <c r="G35">
        <f t="shared" si="4"/>
        <v>1.0322713488701538</v>
      </c>
      <c r="H35">
        <f t="shared" si="5"/>
        <v>1.0655841376982067</v>
      </c>
    </row>
    <row r="36" spans="1:8" x14ac:dyDescent="0.25">
      <c r="A36">
        <v>20</v>
      </c>
      <c r="B36">
        <v>169</v>
      </c>
      <c r="C36">
        <f t="shared" si="0"/>
        <v>178.25025418232087</v>
      </c>
      <c r="D36">
        <f t="shared" si="1"/>
        <v>1.6863880778054674</v>
      </c>
      <c r="E36" s="4">
        <f t="shared" si="2"/>
        <v>0.92662094367181047</v>
      </c>
      <c r="F36">
        <f t="shared" si="3"/>
        <v>163.47235058523469</v>
      </c>
      <c r="G36">
        <f t="shared" si="4"/>
        <v>5.5276494147653068</v>
      </c>
      <c r="H36">
        <f t="shared" si="5"/>
        <v>30.554908052555238</v>
      </c>
    </row>
    <row r="37" spans="1:8" x14ac:dyDescent="0.25">
      <c r="A37">
        <v>21</v>
      </c>
      <c r="B37">
        <v>185</v>
      </c>
      <c r="C37">
        <f t="shared" si="0"/>
        <v>182.15378145134559</v>
      </c>
      <c r="D37">
        <f t="shared" si="1"/>
        <v>2.1931040070171415</v>
      </c>
      <c r="E37" s="4">
        <f t="shared" si="2"/>
        <v>0.98849075287229571</v>
      </c>
      <c r="F37">
        <f t="shared" si="3"/>
        <v>177.86570697702524</v>
      </c>
      <c r="G37">
        <f t="shared" si="4"/>
        <v>7.1342930229747594</v>
      </c>
      <c r="H37">
        <f t="shared" si="5"/>
        <v>50.89813693766633</v>
      </c>
    </row>
    <row r="38" spans="1:8" x14ac:dyDescent="0.25">
      <c r="A38">
        <v>22</v>
      </c>
      <c r="B38">
        <v>188</v>
      </c>
      <c r="C38">
        <f t="shared" si="0"/>
        <v>184.54834482701804</v>
      </c>
      <c r="D38">
        <f t="shared" si="1"/>
        <v>2.2391465250470661</v>
      </c>
      <c r="E38" s="4">
        <f t="shared" si="2"/>
        <v>1.0162014531884298</v>
      </c>
      <c r="F38">
        <f t="shared" si="3"/>
        <v>187.33357289354925</v>
      </c>
      <c r="G38">
        <f t="shared" si="4"/>
        <v>0.66642710645075454</v>
      </c>
      <c r="H38">
        <f t="shared" si="5"/>
        <v>0.44412508821232533</v>
      </c>
    </row>
    <row r="39" spans="1:8" x14ac:dyDescent="0.25">
      <c r="A39">
        <v>23</v>
      </c>
      <c r="B39">
        <v>200</v>
      </c>
      <c r="C39">
        <f t="shared" si="0"/>
        <v>188.0293639188003</v>
      </c>
      <c r="D39">
        <f t="shared" si="1"/>
        <v>2.5229702083358303</v>
      </c>
      <c r="E39" s="4">
        <f t="shared" si="2"/>
        <v>1.0480526558060541</v>
      </c>
      <c r="F39">
        <f t="shared" si="3"/>
        <v>195.76312638288221</v>
      </c>
      <c r="G39">
        <f t="shared" si="4"/>
        <v>4.2368736171177943</v>
      </c>
      <c r="H39">
        <f t="shared" si="5"/>
        <v>17.951098047428822</v>
      </c>
    </row>
    <row r="40" spans="1:8" x14ac:dyDescent="0.25">
      <c r="A40">
        <v>24</v>
      </c>
      <c r="B40">
        <v>229</v>
      </c>
      <c r="C40">
        <f t="shared" si="0"/>
        <v>190.4436564492504</v>
      </c>
      <c r="D40">
        <f t="shared" si="1"/>
        <v>2.4981324756609822</v>
      </c>
      <c r="E40" s="4">
        <f t="shared" si="2"/>
        <v>1.2040049076184032</v>
      </c>
      <c r="F40">
        <f t="shared" si="3"/>
        <v>229.42594544721365</v>
      </c>
      <c r="G40">
        <f t="shared" si="4"/>
        <v>-0.42594544721364969</v>
      </c>
      <c r="H40">
        <f t="shared" si="5"/>
        <v>0.18142952400203602</v>
      </c>
    </row>
    <row r="41" spans="1:8" x14ac:dyDescent="0.25">
      <c r="A41">
        <v>25</v>
      </c>
      <c r="B41">
        <v>189</v>
      </c>
      <c r="C41">
        <f t="shared" si="0"/>
        <v>192.42219189819127</v>
      </c>
      <c r="D41">
        <f t="shared" si="1"/>
        <v>2.3793812076969214</v>
      </c>
      <c r="E41" s="4">
        <f t="shared" si="2"/>
        <v>0.98823339924446252</v>
      </c>
      <c r="F41">
        <f t="shared" si="3"/>
        <v>190.67151992557277</v>
      </c>
      <c r="G41">
        <f t="shared" si="4"/>
        <v>-1.6715199255727669</v>
      </c>
      <c r="H41">
        <f t="shared" si="5"/>
        <v>2.7939788615867882</v>
      </c>
    </row>
    <row r="42" spans="1:8" x14ac:dyDescent="0.25">
      <c r="A42">
        <v>26</v>
      </c>
      <c r="B42">
        <v>218</v>
      </c>
      <c r="C42">
        <f t="shared" si="0"/>
        <v>199.38578924394102</v>
      </c>
      <c r="D42">
        <f t="shared" si="1"/>
        <v>3.42708058051943</v>
      </c>
      <c r="E42" s="4">
        <f t="shared" si="2"/>
        <v>1.0394595142086607</v>
      </c>
      <c r="F42">
        <f t="shared" si="3"/>
        <v>202.48834854772943</v>
      </c>
      <c r="G42">
        <f t="shared" si="4"/>
        <v>15.51165145227057</v>
      </c>
      <c r="H42">
        <f t="shared" si="5"/>
        <v>240.61133077672767</v>
      </c>
    </row>
    <row r="43" spans="1:8" x14ac:dyDescent="0.25">
      <c r="A43">
        <v>27</v>
      </c>
      <c r="B43">
        <v>185</v>
      </c>
      <c r="C43">
        <f t="shared" si="0"/>
        <v>201.4263160412483</v>
      </c>
      <c r="D43">
        <f t="shared" si="1"/>
        <v>3.1101907382195648</v>
      </c>
      <c r="E43" s="4">
        <f t="shared" si="2"/>
        <v>0.93293329171244777</v>
      </c>
      <c r="F43">
        <f t="shared" si="3"/>
        <v>189.21087824698205</v>
      </c>
      <c r="G43">
        <f t="shared" si="4"/>
        <v>-4.2108782469820483</v>
      </c>
      <c r="H43">
        <f t="shared" si="5"/>
        <v>17.73149561090661</v>
      </c>
    </row>
    <row r="44" spans="1:8" x14ac:dyDescent="0.25">
      <c r="A44">
        <v>28</v>
      </c>
      <c r="B44">
        <v>199</v>
      </c>
      <c r="C44">
        <f t="shared" si="0"/>
        <v>208.69050185735992</v>
      </c>
      <c r="D44">
        <f t="shared" si="1"/>
        <v>4.0595652674196439</v>
      </c>
      <c r="E44" s="4">
        <f t="shared" si="2"/>
        <v>0.91259775591054715</v>
      </c>
      <c r="F44">
        <f t="shared" si="3"/>
        <v>186.65955708872477</v>
      </c>
      <c r="G44">
        <f t="shared" si="4"/>
        <v>12.340442911275233</v>
      </c>
      <c r="H44">
        <f t="shared" si="5"/>
        <v>152.28653124644313</v>
      </c>
    </row>
    <row r="45" spans="1:8" x14ac:dyDescent="0.25">
      <c r="A45">
        <v>29</v>
      </c>
      <c r="B45">
        <v>210</v>
      </c>
      <c r="C45">
        <f t="shared" si="0"/>
        <v>209.24501975946052</v>
      </c>
      <c r="D45">
        <f t="shared" si="1"/>
        <v>3.2585044500913933</v>
      </c>
      <c r="E45" s="4">
        <f t="shared" si="2"/>
        <v>1.0430106047420362</v>
      </c>
      <c r="F45">
        <f t="shared" si="3"/>
        <v>221.90057617072515</v>
      </c>
      <c r="G45">
        <f t="shared" si="4"/>
        <v>-11.900576170725145</v>
      </c>
      <c r="H45">
        <f t="shared" si="5"/>
        <v>141.62371319523115</v>
      </c>
    </row>
    <row r="46" spans="1:8" x14ac:dyDescent="0.25">
      <c r="A46">
        <v>30</v>
      </c>
      <c r="B46">
        <v>193</v>
      </c>
      <c r="C46">
        <f t="shared" si="0"/>
        <v>212.63155622707853</v>
      </c>
      <c r="D46">
        <f t="shared" si="1"/>
        <v>3.2877655190341057</v>
      </c>
      <c r="E46" s="4">
        <f t="shared" si="2"/>
        <v>0.90644245153667458</v>
      </c>
      <c r="F46">
        <f t="shared" si="3"/>
        <v>192.62221544468929</v>
      </c>
      <c r="G46">
        <f t="shared" si="4"/>
        <v>0.37778455531071131</v>
      </c>
      <c r="H46">
        <f t="shared" si="5"/>
        <v>0.14272117023131189</v>
      </c>
    </row>
    <row r="47" spans="1:8" x14ac:dyDescent="0.25">
      <c r="A47">
        <v>31</v>
      </c>
      <c r="B47">
        <v>211</v>
      </c>
      <c r="C47">
        <f t="shared" si="0"/>
        <v>219.98041059001372</v>
      </c>
      <c r="D47">
        <f t="shared" si="1"/>
        <v>4.2159067991568353</v>
      </c>
      <c r="E47" s="4">
        <f t="shared" si="2"/>
        <v>0.92083758937691518</v>
      </c>
      <c r="F47">
        <f t="shared" si="3"/>
        <v>198.8266277365889</v>
      </c>
      <c r="G47">
        <f t="shared" si="4"/>
        <v>12.173372263411096</v>
      </c>
      <c r="H47">
        <f t="shared" si="5"/>
        <v>148.19099226358659</v>
      </c>
    </row>
    <row r="48" spans="1:8" x14ac:dyDescent="0.25">
      <c r="A48">
        <v>32</v>
      </c>
      <c r="B48">
        <v>208</v>
      </c>
      <c r="C48">
        <f t="shared" si="0"/>
        <v>224.28085447400574</v>
      </c>
      <c r="D48">
        <f t="shared" si="1"/>
        <v>4.2352273215961826</v>
      </c>
      <c r="E48" s="4">
        <f t="shared" si="2"/>
        <v>0.92662094367181047</v>
      </c>
      <c r="F48">
        <f t="shared" si="3"/>
        <v>207.74500318689795</v>
      </c>
      <c r="G48">
        <f t="shared" si="4"/>
        <v>0.25499681310205347</v>
      </c>
      <c r="H48">
        <f t="shared" si="5"/>
        <v>6.5023374692203581E-2</v>
      </c>
    </row>
    <row r="49" spans="1:8" x14ac:dyDescent="0.25">
      <c r="A49">
        <v>33</v>
      </c>
      <c r="B49">
        <v>216</v>
      </c>
      <c r="C49">
        <f t="shared" si="0"/>
        <v>225.44377837679389</v>
      </c>
      <c r="D49">
        <f t="shared" si="1"/>
        <v>3.533067940783738</v>
      </c>
      <c r="E49" s="4">
        <f t="shared" si="2"/>
        <v>0.98849075287229571</v>
      </c>
      <c r="F49">
        <f t="shared" si="3"/>
        <v>225.88603373756163</v>
      </c>
      <c r="G49">
        <f t="shared" si="4"/>
        <v>-9.8860337375616325</v>
      </c>
      <c r="H49">
        <f t="shared" si="5"/>
        <v>97.733663060206823</v>
      </c>
    </row>
    <row r="50" spans="1:8" x14ac:dyDescent="0.25">
      <c r="A50">
        <v>34</v>
      </c>
      <c r="B50">
        <v>218</v>
      </c>
      <c r="C50">
        <f t="shared" si="0"/>
        <v>224.53711999831685</v>
      </c>
      <c r="D50">
        <f t="shared" si="1"/>
        <v>2.5183909840011482</v>
      </c>
      <c r="E50" s="4">
        <f t="shared" si="2"/>
        <v>1.0162014531884298</v>
      </c>
      <c r="F50">
        <f t="shared" si="3"/>
        <v>232.68660397442613</v>
      </c>
      <c r="G50">
        <f t="shared" si="4"/>
        <v>-14.686603974426134</v>
      </c>
      <c r="H50">
        <f t="shared" si="5"/>
        <v>215.69633630162951</v>
      </c>
    </row>
    <row r="51" spans="1:8" x14ac:dyDescent="0.25">
      <c r="A51">
        <v>35</v>
      </c>
      <c r="B51">
        <v>264</v>
      </c>
      <c r="C51">
        <f t="shared" si="0"/>
        <v>234.68631384917089</v>
      </c>
      <c r="D51">
        <f t="shared" si="1"/>
        <v>4.2623723184261397</v>
      </c>
      <c r="E51" s="4">
        <f t="shared" si="2"/>
        <v>1.0480526558060541</v>
      </c>
      <c r="F51">
        <f t="shared" si="3"/>
        <v>237.96613130041905</v>
      </c>
      <c r="G51">
        <f t="shared" si="4"/>
        <v>26.03386869958095</v>
      </c>
      <c r="H51">
        <f t="shared" si="5"/>
        <v>677.76231946702069</v>
      </c>
    </row>
    <row r="52" spans="1:8" x14ac:dyDescent="0.25">
      <c r="A52">
        <v>36</v>
      </c>
      <c r="B52">
        <v>304</v>
      </c>
      <c r="C52">
        <f t="shared" si="0"/>
        <v>243.10871904663787</v>
      </c>
      <c r="D52">
        <f t="shared" si="1"/>
        <v>5.2131267564887773</v>
      </c>
      <c r="E52" s="4">
        <f t="shared" si="2"/>
        <v>1.2040049076184032</v>
      </c>
      <c r="F52">
        <f t="shared" si="3"/>
        <v>287.69539081475648</v>
      </c>
      <c r="G52">
        <f t="shared" si="4"/>
        <v>16.304609185243521</v>
      </c>
      <c r="H52">
        <f t="shared" si="5"/>
        <v>265.8402806835274</v>
      </c>
    </row>
    <row r="53" spans="1:8" x14ac:dyDescent="0.25">
      <c r="A53" s="4">
        <v>37</v>
      </c>
      <c r="B53" s="23">
        <f ca="1">F53+G53</f>
        <v>243.32049382779434</v>
      </c>
      <c r="C53" s="21">
        <f t="shared" ref="C53:C64" ca="1" si="6">C52+D52+C$2*G53/E41</f>
        <v>247.67544311352165</v>
      </c>
      <c r="D53" s="21">
        <f t="shared" ref="D53:D64" ca="1" si="7">D52+D$2*C$2*G53/E41</f>
        <v>5.0653946967221533</v>
      </c>
      <c r="E53" s="21">
        <f t="shared" ca="1" si="2"/>
        <v>0.98823339924446252</v>
      </c>
      <c r="F53" s="21">
        <f t="shared" ref="F53:F64" si="8">(C52+D52)*E41</f>
        <v>245.39994178468311</v>
      </c>
      <c r="G53" s="4">
        <f t="shared" ref="G53:G64" ca="1" si="9">NORMINV(RAND(),0,H$2)</f>
        <v>-2.0794479568887811</v>
      </c>
      <c r="H53" s="4"/>
    </row>
    <row r="54" spans="1:8" x14ac:dyDescent="0.25">
      <c r="A54" s="4">
        <v>38</v>
      </c>
      <c r="B54" s="23">
        <f t="shared" ref="B54:B64" ca="1" si="10">F54+G54</f>
        <v>278.56139894074448</v>
      </c>
      <c r="C54" s="21">
        <f t="shared" ca="1" si="6"/>
        <v>257.4243175196662</v>
      </c>
      <c r="D54" s="21">
        <f t="shared" ca="1" si="7"/>
        <v>6.1357802558709871</v>
      </c>
      <c r="E54" s="21">
        <f t="shared" ca="1" si="2"/>
        <v>1.0394595142086607</v>
      </c>
      <c r="F54" s="21">
        <f t="shared" ca="1" si="8"/>
        <v>262.71386849092596</v>
      </c>
      <c r="G54" s="4">
        <f t="shared" ca="1" si="9"/>
        <v>15.847530449818505</v>
      </c>
      <c r="H54" s="4"/>
    </row>
    <row r="55" spans="1:8" x14ac:dyDescent="0.25">
      <c r="A55" s="4">
        <v>39</v>
      </c>
      <c r="B55" s="23">
        <f t="shared" ca="1" si="10"/>
        <v>249.08667686840926</v>
      </c>
      <c r="C55" s="21">
        <f t="shared" ca="1" si="6"/>
        <v>264.61467544633427</v>
      </c>
      <c r="D55" s="21">
        <f t="shared" ca="1" si="7"/>
        <v>6.3767986396062684</v>
      </c>
      <c r="E55" s="21">
        <f t="shared" ca="1" si="2"/>
        <v>0.93293329171244777</v>
      </c>
      <c r="F55" s="21">
        <f t="shared" ca="1" si="8"/>
        <v>245.88398958178649</v>
      </c>
      <c r="G55" s="4">
        <f t="shared" ca="1" si="9"/>
        <v>3.2026872866227523</v>
      </c>
      <c r="H55" s="4"/>
    </row>
    <row r="56" spans="1:8" x14ac:dyDescent="0.25">
      <c r="A56" s="4">
        <v>40</v>
      </c>
      <c r="B56" s="23">
        <f t="shared" ca="1" si="10"/>
        <v>259.5609720906981</v>
      </c>
      <c r="C56" s="21">
        <f t="shared" ca="1" si="6"/>
        <v>275.11662721957441</v>
      </c>
      <c r="D56" s="21">
        <f t="shared" ca="1" si="7"/>
        <v>7.3195814885713153</v>
      </c>
      <c r="E56" s="21">
        <f t="shared" ca="1" si="2"/>
        <v>0.91259775591054715</v>
      </c>
      <c r="F56" s="21">
        <f t="shared" ca="1" si="8"/>
        <v>247.30621112172051</v>
      </c>
      <c r="G56" s="4">
        <f t="shared" ca="1" si="9"/>
        <v>12.254760968977573</v>
      </c>
      <c r="H56" s="4"/>
    </row>
    <row r="57" spans="1:8" x14ac:dyDescent="0.25">
      <c r="A57" s="4">
        <v>41</v>
      </c>
      <c r="B57" s="23">
        <f t="shared" ca="1" si="10"/>
        <v>284.23345719694328</v>
      </c>
      <c r="C57" s="21">
        <f t="shared" ca="1" si="6"/>
        <v>279.38770038187209</v>
      </c>
      <c r="D57" s="21">
        <f t="shared" ca="1" si="7"/>
        <v>6.6228603556018557</v>
      </c>
      <c r="E57" s="21">
        <f t="shared" ca="1" si="2"/>
        <v>1.0430106047420362</v>
      </c>
      <c r="F57" s="21">
        <f t="shared" ca="1" si="8"/>
        <v>294.58396084573104</v>
      </c>
      <c r="G57" s="4">
        <f t="shared" ca="1" si="9"/>
        <v>-10.350503648787777</v>
      </c>
      <c r="H57" s="4"/>
    </row>
    <row r="58" spans="1:8" x14ac:dyDescent="0.25">
      <c r="A58" s="4">
        <v>42</v>
      </c>
      <c r="B58" s="23">
        <f t="shared" ca="1" si="10"/>
        <v>252.87595338816871</v>
      </c>
      <c r="C58" s="21">
        <f t="shared" ca="1" si="6"/>
        <v>283.84966592248412</v>
      </c>
      <c r="D58" s="21">
        <f t="shared" ca="1" si="7"/>
        <v>6.1289987936202071</v>
      </c>
      <c r="E58" s="21">
        <f t="shared" ca="1" si="2"/>
        <v>0.90644245153667458</v>
      </c>
      <c r="F58" s="21">
        <f t="shared" ca="1" si="8"/>
        <v>259.25211384025488</v>
      </c>
      <c r="G58" s="4">
        <f t="shared" ca="1" si="9"/>
        <v>-6.3761604520861646</v>
      </c>
      <c r="H58" s="4"/>
    </row>
    <row r="59" spans="1:8" x14ac:dyDescent="0.25">
      <c r="A59" s="4">
        <v>43</v>
      </c>
      <c r="B59" s="23">
        <f t="shared" ca="1" si="10"/>
        <v>259.94540542843544</v>
      </c>
      <c r="C59" s="21">
        <f t="shared" ca="1" si="6"/>
        <v>287.61746408587572</v>
      </c>
      <c r="D59" s="21">
        <f t="shared" ca="1" si="7"/>
        <v>5.5893583523975963</v>
      </c>
      <c r="E59" s="21">
        <f t="shared" ca="1" si="2"/>
        <v>0.92083758937691518</v>
      </c>
      <c r="F59" s="21">
        <f t="shared" ca="1" si="8"/>
        <v>267.02325458791427</v>
      </c>
      <c r="G59" s="4">
        <f t="shared" ca="1" si="9"/>
        <v>-7.0778491594788164</v>
      </c>
      <c r="H59" s="4"/>
    </row>
    <row r="60" spans="1:8" x14ac:dyDescent="0.25">
      <c r="A60" s="4">
        <v>44</v>
      </c>
      <c r="B60" s="23">
        <f t="shared" ca="1" si="10"/>
        <v>271.89312554644289</v>
      </c>
      <c r="C60" s="21">
        <f t="shared" ca="1" si="6"/>
        <v>293.27363841731307</v>
      </c>
      <c r="D60" s="21">
        <f t="shared" ca="1" si="7"/>
        <v>5.6046288058898197</v>
      </c>
      <c r="E60" s="21">
        <f t="shared" ca="1" si="2"/>
        <v>0.92662094367181047</v>
      </c>
      <c r="F60" s="21">
        <f t="shared" ca="1" si="8"/>
        <v>271.6915824987658</v>
      </c>
      <c r="G60" s="4">
        <f t="shared" ca="1" si="9"/>
        <v>0.20154304767711151</v>
      </c>
      <c r="H60" s="4"/>
    </row>
    <row r="61" spans="1:8" x14ac:dyDescent="0.25">
      <c r="A61" s="4">
        <v>45</v>
      </c>
      <c r="B61" s="23">
        <f t="shared" ca="1" si="10"/>
        <v>308.57647679534574</v>
      </c>
      <c r="C61" s="21">
        <f t="shared" ca="1" si="6"/>
        <v>302.9612138252287</v>
      </c>
      <c r="D61" s="21">
        <f t="shared" ca="1" si="7"/>
        <v>6.5377655658915339</v>
      </c>
      <c r="E61" s="21">
        <f t="shared" ca="1" si="2"/>
        <v>0.98849075287229571</v>
      </c>
      <c r="F61" s="21">
        <f t="shared" ca="1" si="8"/>
        <v>295.43840338463099</v>
      </c>
      <c r="G61" s="4">
        <f t="shared" ca="1" si="9"/>
        <v>13.13807341071473</v>
      </c>
      <c r="H61" s="4"/>
    </row>
    <row r="62" spans="1:8" x14ac:dyDescent="0.25">
      <c r="A62" s="4">
        <v>46</v>
      </c>
      <c r="B62" s="23">
        <f t="shared" ca="1" si="10"/>
        <v>310.9925495218526</v>
      </c>
      <c r="C62" s="21">
        <f t="shared" ca="1" si="6"/>
        <v>308.43466087288033</v>
      </c>
      <c r="D62" s="21">
        <f t="shared" ca="1" si="7"/>
        <v>6.2945209608243378</v>
      </c>
      <c r="E62" s="21">
        <f t="shared" ca="1" si="2"/>
        <v>1.0162014531884298</v>
      </c>
      <c r="F62" s="21">
        <f t="shared" ca="1" si="8"/>
        <v>314.51331261759231</v>
      </c>
      <c r="G62" s="4">
        <f t="shared" ca="1" si="9"/>
        <v>-3.52076309573969</v>
      </c>
      <c r="H62" s="4"/>
    </row>
    <row r="63" spans="1:8" x14ac:dyDescent="0.25">
      <c r="A63" s="4">
        <v>47</v>
      </c>
      <c r="B63" s="23">
        <f t="shared" ca="1" si="10"/>
        <v>327.31306667189989</v>
      </c>
      <c r="C63" s="21">
        <f t="shared" ca="1" si="6"/>
        <v>313.98477229985531</v>
      </c>
      <c r="D63" s="21">
        <f t="shared" ca="1" si="7"/>
        <v>6.1243899333487555</v>
      </c>
      <c r="E63" s="21">
        <f t="shared" ca="1" si="2"/>
        <v>1.0480526558060541</v>
      </c>
      <c r="F63" s="21">
        <f t="shared" ca="1" si="8"/>
        <v>329.85275488048069</v>
      </c>
      <c r="G63" s="4">
        <f t="shared" ca="1" si="9"/>
        <v>-2.5396882085807717</v>
      </c>
      <c r="H63" s="4"/>
    </row>
    <row r="64" spans="1:8" x14ac:dyDescent="0.25">
      <c r="A64" s="4">
        <v>48</v>
      </c>
      <c r="B64" s="23">
        <f t="shared" ca="1" si="10"/>
        <v>390.58960017250723</v>
      </c>
      <c r="C64" s="21">
        <f t="shared" ca="1" si="6"/>
        <v>321.42994319131111</v>
      </c>
      <c r="D64" s="21">
        <f t="shared" ca="1" si="7"/>
        <v>6.4262477297030998</v>
      </c>
      <c r="E64" s="21">
        <f t="shared" ca="1" si="2"/>
        <v>1.2040049076184032</v>
      </c>
      <c r="F64" s="21">
        <f t="shared" ca="1" si="8"/>
        <v>385.41300230239329</v>
      </c>
      <c r="G64" s="4">
        <f t="shared" ca="1" si="9"/>
        <v>5.1765978701139295</v>
      </c>
      <c r="H64" s="4"/>
    </row>
    <row r="65" spans="1:12" x14ac:dyDescent="0.25">
      <c r="B65" s="18"/>
      <c r="C65" s="18"/>
      <c r="D65" s="18"/>
      <c r="E65" s="18"/>
      <c r="F65" s="18"/>
    </row>
    <row r="66" spans="1:12" x14ac:dyDescent="0.25">
      <c r="A66" s="18">
        <f t="shared" ref="A66:L66" si="11">PERCENTILE(A71:A1070,0.975)</f>
        <v>263.59245750561206</v>
      </c>
      <c r="B66" s="18">
        <f t="shared" si="11"/>
        <v>284.284801306921</v>
      </c>
      <c r="C66" s="18">
        <f t="shared" si="11"/>
        <v>264.70011181000552</v>
      </c>
      <c r="D66" s="18">
        <f t="shared" si="11"/>
        <v>266.19742620443674</v>
      </c>
      <c r="E66" s="18">
        <f t="shared" si="11"/>
        <v>309.37897767414205</v>
      </c>
      <c r="F66" s="18">
        <f t="shared" si="11"/>
        <v>279.54575840041991</v>
      </c>
      <c r="G66" s="18">
        <f t="shared" si="11"/>
        <v>291.2321275881547</v>
      </c>
      <c r="H66" s="18">
        <f t="shared" si="11"/>
        <v>300.17027822551393</v>
      </c>
      <c r="I66" s="18">
        <f t="shared" si="11"/>
        <v>326.65430029243771</v>
      </c>
      <c r="J66" s="18">
        <f t="shared" si="11"/>
        <v>348.2146780049311</v>
      </c>
      <c r="K66" s="18">
        <f t="shared" si="11"/>
        <v>370.74384800556328</v>
      </c>
      <c r="L66" s="18">
        <f t="shared" si="11"/>
        <v>436.81685648284679</v>
      </c>
    </row>
    <row r="67" spans="1:12" x14ac:dyDescent="0.25">
      <c r="A67" s="18">
        <f t="shared" ref="A67:L67" si="12">PERCENTILE(A71:A1070,0.025)</f>
        <v>223.96016591362732</v>
      </c>
      <c r="B67" s="18">
        <f t="shared" si="12"/>
        <v>240.79282637587986</v>
      </c>
      <c r="C67" s="18">
        <f t="shared" si="12"/>
        <v>218.67648164320588</v>
      </c>
      <c r="D67" s="18">
        <f t="shared" si="12"/>
        <v>216.81984892572046</v>
      </c>
      <c r="E67" s="18">
        <f t="shared" si="12"/>
        <v>251.66146193030249</v>
      </c>
      <c r="F67" s="18">
        <f t="shared" si="12"/>
        <v>220.2130080085208</v>
      </c>
      <c r="G67" s="18">
        <f t="shared" si="12"/>
        <v>224.33027669983619</v>
      </c>
      <c r="H67" s="18">
        <f t="shared" si="12"/>
        <v>230.7294852765398</v>
      </c>
      <c r="I67" s="18">
        <f t="shared" si="12"/>
        <v>243.52656472343065</v>
      </c>
      <c r="J67" s="18">
        <f t="shared" si="12"/>
        <v>254.12894070199349</v>
      </c>
      <c r="K67" s="18">
        <f t="shared" si="12"/>
        <v>263.29319999064705</v>
      </c>
      <c r="L67" s="18">
        <f t="shared" si="12"/>
        <v>302.76810484369963</v>
      </c>
    </row>
    <row r="69" spans="1:12" x14ac:dyDescent="0.25">
      <c r="A69" t="s">
        <v>19</v>
      </c>
    </row>
    <row r="70" spans="1:12" x14ac:dyDescent="0.25">
      <c r="A70">
        <v>37</v>
      </c>
      <c r="B70">
        <v>38</v>
      </c>
      <c r="C70">
        <v>39</v>
      </c>
      <c r="D70">
        <v>40</v>
      </c>
      <c r="E70">
        <v>41</v>
      </c>
      <c r="F70">
        <v>42</v>
      </c>
      <c r="G70">
        <v>43</v>
      </c>
      <c r="H70">
        <v>44</v>
      </c>
      <c r="I70">
        <v>45</v>
      </c>
      <c r="J70">
        <v>46</v>
      </c>
      <c r="K70">
        <v>47</v>
      </c>
      <c r="L70">
        <v>48</v>
      </c>
    </row>
    <row r="71" spans="1:12" x14ac:dyDescent="0.25">
      <c r="A71">
        <v>253.89459527372503</v>
      </c>
      <c r="B71">
        <v>257.51092094627364</v>
      </c>
      <c r="C71">
        <v>236.4882123067984</v>
      </c>
      <c r="D71">
        <v>235.11985792209407</v>
      </c>
      <c r="E71">
        <v>287.35864304013529</v>
      </c>
      <c r="F71">
        <v>242.20213261718112</v>
      </c>
      <c r="G71">
        <v>274.59006505371491</v>
      </c>
      <c r="H71">
        <v>274.03203055061437</v>
      </c>
      <c r="I71">
        <v>297.01684971736239</v>
      </c>
      <c r="J71">
        <v>299.91446417139332</v>
      </c>
      <c r="K71">
        <v>341.43920133196696</v>
      </c>
      <c r="L71">
        <v>373.50022684378627</v>
      </c>
    </row>
    <row r="72" spans="1:12" x14ac:dyDescent="0.25">
      <c r="A72">
        <v>231.75755652831734</v>
      </c>
      <c r="B72">
        <v>255.28874452441494</v>
      </c>
      <c r="C72">
        <v>225.79109547660653</v>
      </c>
      <c r="D72">
        <v>235.91318496231079</v>
      </c>
      <c r="E72">
        <v>250.31383342976557</v>
      </c>
      <c r="F72">
        <v>236.77381130384308</v>
      </c>
      <c r="G72">
        <v>237.42618403576625</v>
      </c>
      <c r="H72">
        <v>218.73595878382349</v>
      </c>
      <c r="I72">
        <v>245.40420697015531</v>
      </c>
      <c r="J72">
        <v>244.942484654407</v>
      </c>
      <c r="K72">
        <v>261.89667261913661</v>
      </c>
      <c r="L72">
        <v>294.14261137294284</v>
      </c>
    </row>
    <row r="73" spans="1:12" x14ac:dyDescent="0.25">
      <c r="A73">
        <v>240.57990560038976</v>
      </c>
      <c r="B73">
        <v>264.49734555804974</v>
      </c>
      <c r="C73">
        <v>247.95080489311516</v>
      </c>
      <c r="D73">
        <v>225.70319379001566</v>
      </c>
      <c r="E73">
        <v>285.53859923344766</v>
      </c>
      <c r="F73">
        <v>237.32146941358295</v>
      </c>
      <c r="G73">
        <v>240.55288009865956</v>
      </c>
      <c r="H73">
        <v>267.4181157998085</v>
      </c>
      <c r="I73">
        <v>262.64703741821734</v>
      </c>
      <c r="J73">
        <v>281.69250872995144</v>
      </c>
      <c r="K73">
        <v>291.78783274137254</v>
      </c>
      <c r="L73">
        <v>344.45577056638405</v>
      </c>
    </row>
    <row r="74" spans="1:12" x14ac:dyDescent="0.25">
      <c r="A74">
        <v>233.04095984878504</v>
      </c>
      <c r="B74">
        <v>248.89747176948913</v>
      </c>
      <c r="C74">
        <v>255.75460467559901</v>
      </c>
      <c r="D74">
        <v>246.00451661795739</v>
      </c>
      <c r="E74">
        <v>280.66292539470732</v>
      </c>
      <c r="F74">
        <v>259.27196563270991</v>
      </c>
      <c r="G74">
        <v>248.71271503837224</v>
      </c>
      <c r="H74">
        <v>255.15239492396074</v>
      </c>
      <c r="I74">
        <v>285.54477857887713</v>
      </c>
      <c r="J74">
        <v>293.17071586911311</v>
      </c>
      <c r="K74">
        <v>321.71662360110253</v>
      </c>
      <c r="L74">
        <v>362.80832661214265</v>
      </c>
    </row>
    <row r="75" spans="1:12" x14ac:dyDescent="0.25">
      <c r="A75">
        <v>251.23118302934378</v>
      </c>
      <c r="B75">
        <v>259.94012749676159</v>
      </c>
      <c r="C75">
        <v>243.99804202870172</v>
      </c>
      <c r="D75">
        <v>227.32731037863448</v>
      </c>
      <c r="E75">
        <v>261.12382383720757</v>
      </c>
      <c r="F75">
        <v>240.85682506304229</v>
      </c>
      <c r="G75">
        <v>253.84796782993908</v>
      </c>
      <c r="H75">
        <v>246.28768170772247</v>
      </c>
      <c r="I75">
        <v>277.29950593289715</v>
      </c>
      <c r="J75">
        <v>272.35346730135888</v>
      </c>
      <c r="K75">
        <v>294.86788993982583</v>
      </c>
      <c r="L75">
        <v>344.16024117762947</v>
      </c>
    </row>
    <row r="76" spans="1:12" x14ac:dyDescent="0.25">
      <c r="A76">
        <v>243.99176833964847</v>
      </c>
      <c r="B76">
        <v>253.56889068142169</v>
      </c>
      <c r="C76">
        <v>229.56578810905989</v>
      </c>
      <c r="D76">
        <v>230.65743362606759</v>
      </c>
      <c r="E76">
        <v>285.37157850019304</v>
      </c>
      <c r="F76">
        <v>248.91683725000945</v>
      </c>
      <c r="G76">
        <v>269.64279878935804</v>
      </c>
      <c r="H76">
        <v>279.35042279448498</v>
      </c>
      <c r="I76">
        <v>298.59684645561777</v>
      </c>
      <c r="J76">
        <v>299.77854629918414</v>
      </c>
      <c r="K76">
        <v>332.53697482162812</v>
      </c>
      <c r="L76">
        <v>388.32574992394092</v>
      </c>
    </row>
    <row r="77" spans="1:12" x14ac:dyDescent="0.25">
      <c r="A77">
        <v>253.82205757549323</v>
      </c>
      <c r="B77">
        <v>264.2307490345961</v>
      </c>
      <c r="C77">
        <v>242.58099289332247</v>
      </c>
      <c r="D77">
        <v>245.74520139725971</v>
      </c>
      <c r="E77">
        <v>287.76816875435645</v>
      </c>
      <c r="F77">
        <v>246.62258996868019</v>
      </c>
      <c r="G77">
        <v>278.85919057621498</v>
      </c>
      <c r="H77">
        <v>273.5978597788573</v>
      </c>
      <c r="I77">
        <v>310.95690707336047</v>
      </c>
      <c r="J77">
        <v>320.52354229209095</v>
      </c>
      <c r="K77">
        <v>346.65454131050757</v>
      </c>
      <c r="L77">
        <v>398.34159566576136</v>
      </c>
    </row>
    <row r="78" spans="1:12" x14ac:dyDescent="0.25">
      <c r="A78">
        <v>244.47577669337133</v>
      </c>
      <c r="B78">
        <v>260.42922056783817</v>
      </c>
      <c r="C78">
        <v>242.490260047482</v>
      </c>
      <c r="D78">
        <v>246.85675296598296</v>
      </c>
      <c r="E78">
        <v>285.15295124304356</v>
      </c>
      <c r="F78">
        <v>240.98795358187385</v>
      </c>
      <c r="G78">
        <v>246.3825550163991</v>
      </c>
      <c r="H78">
        <v>267.51041143211131</v>
      </c>
      <c r="I78">
        <v>262.76427513877877</v>
      </c>
      <c r="J78">
        <v>299.03708555849073</v>
      </c>
      <c r="K78">
        <v>315.5134778889954</v>
      </c>
      <c r="L78">
        <v>352.06659897077338</v>
      </c>
    </row>
    <row r="79" spans="1:12" x14ac:dyDescent="0.25">
      <c r="A79">
        <v>248.29312156897925</v>
      </c>
      <c r="B79">
        <v>259.01508342503473</v>
      </c>
      <c r="C79">
        <v>224.71248712994529</v>
      </c>
      <c r="D79">
        <v>230.23454541898789</v>
      </c>
      <c r="E79">
        <v>270.78078451007372</v>
      </c>
      <c r="F79">
        <v>231.5181731287922</v>
      </c>
      <c r="G79">
        <v>246.56306630144437</v>
      </c>
      <c r="H79">
        <v>250.38868481437092</v>
      </c>
      <c r="I79">
        <v>264.66671105266477</v>
      </c>
      <c r="J79">
        <v>270.44618805394839</v>
      </c>
      <c r="K79">
        <v>277.27338467350484</v>
      </c>
      <c r="L79">
        <v>324.61855940823494</v>
      </c>
    </row>
    <row r="80" spans="1:12" x14ac:dyDescent="0.25">
      <c r="A80">
        <v>247.36042450863948</v>
      </c>
      <c r="B80">
        <v>276.46464472141588</v>
      </c>
      <c r="C80">
        <v>232.03422418440829</v>
      </c>
      <c r="D80">
        <v>250.24084185065746</v>
      </c>
      <c r="E80">
        <v>290.64138275182836</v>
      </c>
      <c r="F80">
        <v>238.4548266016796</v>
      </c>
      <c r="G80">
        <v>275.0087057688151</v>
      </c>
      <c r="H80">
        <v>257.61246554086119</v>
      </c>
      <c r="I80">
        <v>292.21797008393298</v>
      </c>
      <c r="J80">
        <v>292.56659382120023</v>
      </c>
      <c r="K80">
        <v>308.872096493117</v>
      </c>
      <c r="L80">
        <v>360.38433870858631</v>
      </c>
    </row>
    <row r="81" spans="1:12" x14ac:dyDescent="0.25">
      <c r="A81">
        <v>239.7246103983388</v>
      </c>
      <c r="B81">
        <v>241.73109140158181</v>
      </c>
      <c r="C81">
        <v>234.02771410644235</v>
      </c>
      <c r="D81">
        <v>245.83738257539613</v>
      </c>
      <c r="E81">
        <v>260.82359924673767</v>
      </c>
      <c r="F81">
        <v>243.51754505094385</v>
      </c>
      <c r="G81">
        <v>254.29286270540928</v>
      </c>
      <c r="H81">
        <v>285.66810596422914</v>
      </c>
      <c r="I81">
        <v>291.04066316253557</v>
      </c>
      <c r="J81">
        <v>312.06390342881667</v>
      </c>
      <c r="K81">
        <v>320.29632173245602</v>
      </c>
      <c r="L81">
        <v>385.00746115547997</v>
      </c>
    </row>
    <row r="82" spans="1:12" x14ac:dyDescent="0.25">
      <c r="A82">
        <v>234.46624012496457</v>
      </c>
      <c r="B82">
        <v>270.16699034911784</v>
      </c>
      <c r="C82">
        <v>254.20824652419148</v>
      </c>
      <c r="D82">
        <v>252.93735136899619</v>
      </c>
      <c r="E82">
        <v>300.9066026199252</v>
      </c>
      <c r="F82">
        <v>272.31369909817363</v>
      </c>
      <c r="G82">
        <v>268.04447668435597</v>
      </c>
      <c r="H82">
        <v>287.2316233231092</v>
      </c>
      <c r="I82">
        <v>320.36316904617667</v>
      </c>
      <c r="J82">
        <v>349.75451809287813</v>
      </c>
      <c r="K82">
        <v>355.49413974328559</v>
      </c>
      <c r="L82">
        <v>434.29356740533933</v>
      </c>
    </row>
    <row r="83" spans="1:12" x14ac:dyDescent="0.25">
      <c r="A83">
        <v>226.04082693940626</v>
      </c>
      <c r="B83">
        <v>243.00431972187175</v>
      </c>
      <c r="C83">
        <v>221.18960993127826</v>
      </c>
      <c r="D83">
        <v>227.26958522273745</v>
      </c>
      <c r="E83">
        <v>262.29734718497735</v>
      </c>
      <c r="F83">
        <v>236.76076284734629</v>
      </c>
      <c r="G83">
        <v>246.11472505352759</v>
      </c>
      <c r="H83">
        <v>245.04573279800812</v>
      </c>
      <c r="I83">
        <v>265.49903990569516</v>
      </c>
      <c r="J83">
        <v>282.09960228976928</v>
      </c>
      <c r="K83">
        <v>293.43560141307734</v>
      </c>
      <c r="L83">
        <v>329.54784193957823</v>
      </c>
    </row>
    <row r="84" spans="1:12" x14ac:dyDescent="0.25">
      <c r="A84">
        <v>233.6171270399872</v>
      </c>
      <c r="B84">
        <v>250.21937705010637</v>
      </c>
      <c r="C84">
        <v>235.09207455186851</v>
      </c>
      <c r="D84">
        <v>234.365980553208</v>
      </c>
      <c r="E84">
        <v>274.73663911230943</v>
      </c>
      <c r="F84">
        <v>250.76869767030863</v>
      </c>
      <c r="G84">
        <v>243.60190285387947</v>
      </c>
      <c r="H84">
        <v>250.09240525466538</v>
      </c>
      <c r="I84">
        <v>280.44752824673094</v>
      </c>
      <c r="J84">
        <v>264.89893423329136</v>
      </c>
      <c r="K84">
        <v>284.42574767178832</v>
      </c>
      <c r="L84">
        <v>335.66904744513113</v>
      </c>
    </row>
    <row r="85" spans="1:12" x14ac:dyDescent="0.25">
      <c r="A85">
        <v>245.3892625671065</v>
      </c>
      <c r="B85">
        <v>267.3752878178629</v>
      </c>
      <c r="C85">
        <v>253.71423527468014</v>
      </c>
      <c r="D85">
        <v>243.00340018753681</v>
      </c>
      <c r="E85">
        <v>285.40841831970096</v>
      </c>
      <c r="F85">
        <v>248.19404034441717</v>
      </c>
      <c r="G85">
        <v>246.89248794894792</v>
      </c>
      <c r="H85">
        <v>252.16177495139323</v>
      </c>
      <c r="I85">
        <v>286.88406224883948</v>
      </c>
      <c r="J85">
        <v>287.44468135171206</v>
      </c>
      <c r="K85">
        <v>285.55517361188924</v>
      </c>
      <c r="L85">
        <v>342.35631660522756</v>
      </c>
    </row>
    <row r="86" spans="1:12" x14ac:dyDescent="0.25">
      <c r="A86">
        <v>257.98105281427803</v>
      </c>
      <c r="B86">
        <v>285.24055468279442</v>
      </c>
      <c r="C86">
        <v>253.47593669145004</v>
      </c>
      <c r="D86">
        <v>259.01131937426015</v>
      </c>
      <c r="E86">
        <v>303.5459807537934</v>
      </c>
      <c r="F86">
        <v>271.00825902745498</v>
      </c>
      <c r="G86">
        <v>287.23292601718128</v>
      </c>
      <c r="H86">
        <v>281.71704111517613</v>
      </c>
      <c r="I86">
        <v>304.30148605580229</v>
      </c>
      <c r="J86">
        <v>325.11901921188485</v>
      </c>
      <c r="K86">
        <v>320.95513861039956</v>
      </c>
      <c r="L86">
        <v>394.40213749507478</v>
      </c>
    </row>
    <row r="87" spans="1:12" x14ac:dyDescent="0.25">
      <c r="A87">
        <v>223.67388618975065</v>
      </c>
      <c r="B87">
        <v>251.071293475922</v>
      </c>
      <c r="C87">
        <v>240.12474110269906</v>
      </c>
      <c r="D87">
        <v>230.29918252527474</v>
      </c>
      <c r="E87">
        <v>265.99230504622938</v>
      </c>
      <c r="F87">
        <v>224.34373117663515</v>
      </c>
      <c r="G87">
        <v>249.71692051191297</v>
      </c>
      <c r="H87">
        <v>236.92782278474832</v>
      </c>
      <c r="I87">
        <v>266.28677717128699</v>
      </c>
      <c r="J87">
        <v>259.80268341914353</v>
      </c>
      <c r="K87">
        <v>271.32492692871762</v>
      </c>
      <c r="L87">
        <v>331.4940796724768</v>
      </c>
    </row>
    <row r="88" spans="1:12" x14ac:dyDescent="0.25">
      <c r="A88">
        <v>250.13401288054465</v>
      </c>
      <c r="B88">
        <v>267.96941641791972</v>
      </c>
      <c r="C88">
        <v>242.63314444240473</v>
      </c>
      <c r="D88">
        <v>228.91775277569923</v>
      </c>
      <c r="E88">
        <v>278.56803412527188</v>
      </c>
      <c r="F88">
        <v>217.62831482472248</v>
      </c>
      <c r="G88">
        <v>231.28568157575654</v>
      </c>
      <c r="H88">
        <v>243.95209985701158</v>
      </c>
      <c r="I88">
        <v>262.52501004945742</v>
      </c>
      <c r="J88">
        <v>255.33876036276828</v>
      </c>
      <c r="K88">
        <v>267.83390290737248</v>
      </c>
      <c r="L88">
        <v>313.88909680441247</v>
      </c>
    </row>
    <row r="89" spans="1:12" x14ac:dyDescent="0.25">
      <c r="A89">
        <v>233.69780979443431</v>
      </c>
      <c r="B89">
        <v>263.666767175122</v>
      </c>
      <c r="C89">
        <v>231.83518109268041</v>
      </c>
      <c r="D89">
        <v>221.35998454055382</v>
      </c>
      <c r="E89">
        <v>278.18131867133752</v>
      </c>
      <c r="F89">
        <v>247.59989925753544</v>
      </c>
      <c r="G89">
        <v>241.37088585637758</v>
      </c>
      <c r="H89">
        <v>247.08334274258937</v>
      </c>
      <c r="I89">
        <v>260.0835451421292</v>
      </c>
      <c r="J89">
        <v>278.76926648876798</v>
      </c>
      <c r="K89">
        <v>282.52798050408308</v>
      </c>
      <c r="L89">
        <v>328.10712757409249</v>
      </c>
    </row>
    <row r="90" spans="1:12" x14ac:dyDescent="0.25">
      <c r="A90">
        <v>244.54199284739704</v>
      </c>
      <c r="B90">
        <v>268.14807257794394</v>
      </c>
      <c r="C90">
        <v>250.69537658130878</v>
      </c>
      <c r="D90">
        <v>248.33677863797848</v>
      </c>
      <c r="E90">
        <v>290.56449216887796</v>
      </c>
      <c r="F90">
        <v>252.88989682863669</v>
      </c>
      <c r="G90">
        <v>271.37900438170379</v>
      </c>
      <c r="H90">
        <v>274.43719673463227</v>
      </c>
      <c r="I90">
        <v>298.01725190496745</v>
      </c>
      <c r="J90">
        <v>306.52691587093329</v>
      </c>
      <c r="K90">
        <v>329.82859230411697</v>
      </c>
      <c r="L90">
        <v>392.88121963669391</v>
      </c>
    </row>
    <row r="91" spans="1:12" x14ac:dyDescent="0.25">
      <c r="A91">
        <v>253.91432116411309</v>
      </c>
      <c r="B91">
        <v>266.33168920749637</v>
      </c>
      <c r="C91">
        <v>243.99695627286789</v>
      </c>
      <c r="D91">
        <v>241.7225211798841</v>
      </c>
      <c r="E91">
        <v>296.67504732716492</v>
      </c>
      <c r="F91">
        <v>260.14484757665281</v>
      </c>
      <c r="G91">
        <v>271.43594644724561</v>
      </c>
      <c r="H91">
        <v>282.19394558145956</v>
      </c>
      <c r="I91">
        <v>291.06219756501929</v>
      </c>
      <c r="J91">
        <v>314.47968193799517</v>
      </c>
      <c r="K91">
        <v>331.02262910401481</v>
      </c>
      <c r="L91">
        <v>375.28935887324002</v>
      </c>
    </row>
    <row r="92" spans="1:12" x14ac:dyDescent="0.25">
      <c r="A92">
        <v>259.72903102346049</v>
      </c>
      <c r="B92">
        <v>267.94685479697989</v>
      </c>
      <c r="C92">
        <v>256.40356017976546</v>
      </c>
      <c r="D92">
        <v>241.33252417754514</v>
      </c>
      <c r="E92">
        <v>288.13791729740171</v>
      </c>
      <c r="F92">
        <v>232.29932544680088</v>
      </c>
      <c r="G92">
        <v>253.47460047179874</v>
      </c>
      <c r="H92">
        <v>266.74331296446252</v>
      </c>
      <c r="I92">
        <v>260.29749029096217</v>
      </c>
      <c r="J92">
        <v>283.83381432254862</v>
      </c>
      <c r="K92">
        <v>295.44097037567616</v>
      </c>
      <c r="L92">
        <v>352.54967985037183</v>
      </c>
    </row>
    <row r="93" spans="1:12" x14ac:dyDescent="0.25">
      <c r="A93">
        <v>257.47856574115696</v>
      </c>
      <c r="B93">
        <v>257.15068471136567</v>
      </c>
      <c r="C93">
        <v>248.95426752177784</v>
      </c>
      <c r="D93">
        <v>244.47547542238453</v>
      </c>
      <c r="E93">
        <v>283.64729874183462</v>
      </c>
      <c r="F93">
        <v>266.33147318203794</v>
      </c>
      <c r="G93">
        <v>267.05956540360671</v>
      </c>
      <c r="H93">
        <v>256.69894199675343</v>
      </c>
      <c r="I93">
        <v>305.54445115237905</v>
      </c>
      <c r="J93">
        <v>308.70050192416363</v>
      </c>
      <c r="K93">
        <v>332.61238619342907</v>
      </c>
      <c r="L93">
        <v>398.06950361812568</v>
      </c>
    </row>
    <row r="94" spans="1:12" x14ac:dyDescent="0.25">
      <c r="A94">
        <v>240.01384498832468</v>
      </c>
      <c r="B94">
        <v>277.10173595063469</v>
      </c>
      <c r="C94">
        <v>244.87209467850187</v>
      </c>
      <c r="D94">
        <v>238.51508837454872</v>
      </c>
      <c r="E94">
        <v>293.37499704402433</v>
      </c>
      <c r="F94">
        <v>238.21178374867827</v>
      </c>
      <c r="G94">
        <v>246.8281989341605</v>
      </c>
      <c r="H94">
        <v>259.23863018364278</v>
      </c>
      <c r="I94">
        <v>281.22023887581736</v>
      </c>
      <c r="J94">
        <v>283.29172311093424</v>
      </c>
      <c r="K94">
        <v>320.38970141001784</v>
      </c>
      <c r="L94">
        <v>345.04943890572571</v>
      </c>
    </row>
    <row r="95" spans="1:12" x14ac:dyDescent="0.25">
      <c r="A95">
        <v>245.99017797309341</v>
      </c>
      <c r="B95">
        <v>246.70213387205999</v>
      </c>
      <c r="C95">
        <v>261.14646366679864</v>
      </c>
      <c r="D95">
        <v>239.87063368913272</v>
      </c>
      <c r="E95">
        <v>295.60739697408093</v>
      </c>
      <c r="F95">
        <v>239.74840000229111</v>
      </c>
      <c r="G95">
        <v>254.95244844742763</v>
      </c>
      <c r="H95">
        <v>274.33130542768879</v>
      </c>
      <c r="I95">
        <v>282.26368026616751</v>
      </c>
      <c r="J95">
        <v>302.9557026821862</v>
      </c>
      <c r="K95">
        <v>308.13326129638864</v>
      </c>
      <c r="L95">
        <v>347.03757053596348</v>
      </c>
    </row>
    <row r="96" spans="1:12" x14ac:dyDescent="0.25">
      <c r="A96">
        <v>251.56378189215681</v>
      </c>
      <c r="B96">
        <v>284.8748826898443</v>
      </c>
      <c r="C96">
        <v>249.33247290172312</v>
      </c>
      <c r="D96">
        <v>239.2188022015327</v>
      </c>
      <c r="E96">
        <v>301.26991479370975</v>
      </c>
      <c r="F96">
        <v>256.16216611084917</v>
      </c>
      <c r="G96">
        <v>274.1301013865899</v>
      </c>
      <c r="H96">
        <v>289.31373926983565</v>
      </c>
      <c r="I96">
        <v>310.51889737352542</v>
      </c>
      <c r="J96">
        <v>337.14123864919856</v>
      </c>
      <c r="K96">
        <v>352.4301947101377</v>
      </c>
      <c r="L96">
        <v>411.91407203458675</v>
      </c>
    </row>
    <row r="97" spans="1:12" x14ac:dyDescent="0.25">
      <c r="A97">
        <v>231.62750723197891</v>
      </c>
      <c r="B97">
        <v>272.35408296107465</v>
      </c>
      <c r="C97">
        <v>236.72610554257369</v>
      </c>
      <c r="D97">
        <v>243.39908963038812</v>
      </c>
      <c r="E97">
        <v>292.55667108966537</v>
      </c>
      <c r="F97">
        <v>234.45203432944285</v>
      </c>
      <c r="G97">
        <v>258.98319027557733</v>
      </c>
      <c r="H97">
        <v>256.80926336419668</v>
      </c>
      <c r="I97">
        <v>277.56304858610031</v>
      </c>
      <c r="J97">
        <v>278.80214046926199</v>
      </c>
      <c r="K97">
        <v>327.61069805294619</v>
      </c>
      <c r="L97">
        <v>359.69548092733987</v>
      </c>
    </row>
    <row r="98" spans="1:12" x14ac:dyDescent="0.25">
      <c r="A98">
        <v>245.15927119048501</v>
      </c>
      <c r="B98">
        <v>269.64201556649488</v>
      </c>
      <c r="C98">
        <v>263.44054368054123</v>
      </c>
      <c r="D98">
        <v>260.82215517893331</v>
      </c>
      <c r="E98">
        <v>299.03491268470623</v>
      </c>
      <c r="F98">
        <v>257.12525648848106</v>
      </c>
      <c r="G98">
        <v>262.83749384292332</v>
      </c>
      <c r="H98">
        <v>263.90646537309823</v>
      </c>
      <c r="I98">
        <v>282.60169211584287</v>
      </c>
      <c r="J98">
        <v>304.1332367710425</v>
      </c>
      <c r="K98">
        <v>322.43372603933017</v>
      </c>
      <c r="L98">
        <v>369.30309992418597</v>
      </c>
    </row>
    <row r="99" spans="1:12" x14ac:dyDescent="0.25">
      <c r="A99">
        <v>245.69310430829108</v>
      </c>
      <c r="B99">
        <v>246.67204195502461</v>
      </c>
      <c r="C99">
        <v>214.15900776427742</v>
      </c>
      <c r="D99">
        <v>225.29096199453164</v>
      </c>
      <c r="E99">
        <v>258.86658815237621</v>
      </c>
      <c r="F99">
        <v>212.15580329262883</v>
      </c>
      <c r="G99">
        <v>218.11174607858507</v>
      </c>
      <c r="H99">
        <v>242.65881492849476</v>
      </c>
      <c r="I99">
        <v>236.83751120211079</v>
      </c>
      <c r="J99">
        <v>228.85559229423896</v>
      </c>
      <c r="K99">
        <v>236.07619867737404</v>
      </c>
      <c r="L99">
        <v>266.16362084830735</v>
      </c>
    </row>
    <row r="100" spans="1:12" x14ac:dyDescent="0.25">
      <c r="A100">
        <v>223.04450216952793</v>
      </c>
      <c r="B100">
        <v>284.18723517556424</v>
      </c>
      <c r="C100">
        <v>233.92817318451674</v>
      </c>
      <c r="D100">
        <v>265.75402990254429</v>
      </c>
      <c r="E100">
        <v>285.12910598935048</v>
      </c>
      <c r="F100">
        <v>274.89701675482206</v>
      </c>
      <c r="G100">
        <v>283.14892180220392</v>
      </c>
      <c r="H100">
        <v>285.42294126461883</v>
      </c>
      <c r="I100">
        <v>318.19568212426589</v>
      </c>
      <c r="J100">
        <v>332.76748411494327</v>
      </c>
      <c r="K100">
        <v>342.75907107116836</v>
      </c>
      <c r="L100">
        <v>420.10096917238849</v>
      </c>
    </row>
    <row r="101" spans="1:12" x14ac:dyDescent="0.25">
      <c r="A101">
        <v>250.68739795181787</v>
      </c>
      <c r="B101">
        <v>256.06334406884957</v>
      </c>
      <c r="C101">
        <v>230.77583593826026</v>
      </c>
      <c r="D101">
        <v>226.38338776546868</v>
      </c>
      <c r="E101">
        <v>271.82120543593766</v>
      </c>
      <c r="F101">
        <v>239.29617300471185</v>
      </c>
      <c r="G101">
        <v>261.18603988422342</v>
      </c>
      <c r="H101">
        <v>247.8298457494021</v>
      </c>
      <c r="I101">
        <v>266.48922237763895</v>
      </c>
      <c r="J101">
        <v>294.98331114569038</v>
      </c>
      <c r="K101">
        <v>290.08226927898846</v>
      </c>
      <c r="L101">
        <v>366.24075204820798</v>
      </c>
    </row>
    <row r="102" spans="1:12" x14ac:dyDescent="0.25">
      <c r="A102">
        <v>243.60428709511169</v>
      </c>
      <c r="B102">
        <v>273.47669036341028</v>
      </c>
      <c r="C102">
        <v>245.37917553713368</v>
      </c>
      <c r="D102">
        <v>247.70237174391127</v>
      </c>
      <c r="E102">
        <v>303.57651230914189</v>
      </c>
      <c r="F102">
        <v>261.85456397054315</v>
      </c>
      <c r="G102">
        <v>281.01887985452328</v>
      </c>
      <c r="H102">
        <v>287.10324799321802</v>
      </c>
      <c r="I102">
        <v>307.98243486914191</v>
      </c>
      <c r="J102">
        <v>336.57169269478868</v>
      </c>
      <c r="K102">
        <v>369.88364611991994</v>
      </c>
      <c r="L102">
        <v>429.02736903773717</v>
      </c>
    </row>
    <row r="103" spans="1:12" x14ac:dyDescent="0.25">
      <c r="A103">
        <v>256.10159527861208</v>
      </c>
      <c r="B103">
        <v>276.95294722993935</v>
      </c>
      <c r="C103">
        <v>226.17443774260471</v>
      </c>
      <c r="D103">
        <v>229.72230303599486</v>
      </c>
      <c r="E103">
        <v>250.97813553982024</v>
      </c>
      <c r="F103">
        <v>233.99205928583783</v>
      </c>
      <c r="G103">
        <v>234.14844029103341</v>
      </c>
      <c r="H103">
        <v>261.90836499527433</v>
      </c>
      <c r="I103">
        <v>276.4254601068821</v>
      </c>
      <c r="J103">
        <v>282.1828117249371</v>
      </c>
      <c r="K103">
        <v>310.75628669421639</v>
      </c>
      <c r="L103">
        <v>363.47671195403859</v>
      </c>
    </row>
    <row r="104" spans="1:12" x14ac:dyDescent="0.25">
      <c r="A104">
        <v>239.00522917930613</v>
      </c>
      <c r="B104">
        <v>258.24238654848614</v>
      </c>
      <c r="C104">
        <v>244.94848928329446</v>
      </c>
      <c r="D104">
        <v>226.29822902435646</v>
      </c>
      <c r="E104">
        <v>261.21154731620709</v>
      </c>
      <c r="F104">
        <v>237.64981263256558</v>
      </c>
      <c r="G104">
        <v>256.10642086928294</v>
      </c>
      <c r="H104">
        <v>242.44574162255071</v>
      </c>
      <c r="I104">
        <v>269.2672780775377</v>
      </c>
      <c r="J104">
        <v>268.95225714283856</v>
      </c>
      <c r="K104">
        <v>307.36305032183901</v>
      </c>
      <c r="L104">
        <v>360.98751376626893</v>
      </c>
    </row>
    <row r="105" spans="1:12" x14ac:dyDescent="0.25">
      <c r="A105">
        <v>245.39687498962533</v>
      </c>
      <c r="B105">
        <v>264.70187605708566</v>
      </c>
      <c r="C105">
        <v>226.33979886797565</v>
      </c>
      <c r="D105">
        <v>251.24423739031161</v>
      </c>
      <c r="E105">
        <v>267.62255683811429</v>
      </c>
      <c r="F105">
        <v>255.97439935141006</v>
      </c>
      <c r="G105">
        <v>272.61569199209157</v>
      </c>
      <c r="H105">
        <v>269.66538411972095</v>
      </c>
      <c r="I105">
        <v>293.30355869325041</v>
      </c>
      <c r="J105">
        <v>323.18384745481654</v>
      </c>
      <c r="K105">
        <v>339.85381058281081</v>
      </c>
      <c r="L105">
        <v>385.58982004325026</v>
      </c>
    </row>
    <row r="106" spans="1:12" x14ac:dyDescent="0.25">
      <c r="A106">
        <v>232.84875319936373</v>
      </c>
      <c r="B106">
        <v>252.33835745733532</v>
      </c>
      <c r="C106">
        <v>241.680748402918</v>
      </c>
      <c r="D106">
        <v>238.57826193628728</v>
      </c>
      <c r="E106">
        <v>284.5645011632667</v>
      </c>
      <c r="F106">
        <v>247.46156636124539</v>
      </c>
      <c r="G106">
        <v>257.00086685312561</v>
      </c>
      <c r="H106">
        <v>260.90029776355243</v>
      </c>
      <c r="I106">
        <v>293.03955142241182</v>
      </c>
      <c r="J106">
        <v>296.06418331269504</v>
      </c>
      <c r="K106">
        <v>334.60085183451514</v>
      </c>
      <c r="L106">
        <v>385.13144462510911</v>
      </c>
    </row>
    <row r="107" spans="1:12" x14ac:dyDescent="0.25">
      <c r="A107">
        <v>251.36056556573624</v>
      </c>
      <c r="B107">
        <v>263.07953850898724</v>
      </c>
      <c r="C107">
        <v>252.5965331330641</v>
      </c>
      <c r="D107">
        <v>237.88058473874682</v>
      </c>
      <c r="E107">
        <v>273.76878623322358</v>
      </c>
      <c r="F107">
        <v>243.8193262263286</v>
      </c>
      <c r="G107">
        <v>247.80867099077093</v>
      </c>
      <c r="H107">
        <v>239.44887374651256</v>
      </c>
      <c r="I107">
        <v>282.55016540699438</v>
      </c>
      <c r="J107">
        <v>266.75243703422257</v>
      </c>
      <c r="K107">
        <v>288.14415972420642</v>
      </c>
      <c r="L107">
        <v>351.38114027729898</v>
      </c>
    </row>
    <row r="108" spans="1:12" x14ac:dyDescent="0.25">
      <c r="A108">
        <v>250.66793328189931</v>
      </c>
      <c r="B108">
        <v>268.25352080848296</v>
      </c>
      <c r="C108">
        <v>240.21869695849944</v>
      </c>
      <c r="D108">
        <v>238.09576196409046</v>
      </c>
      <c r="E108">
        <v>266.1654349438582</v>
      </c>
      <c r="F108">
        <v>227.00500901748993</v>
      </c>
      <c r="G108">
        <v>246.41530167159604</v>
      </c>
      <c r="H108">
        <v>258.27297977033771</v>
      </c>
      <c r="I108">
        <v>276.06268485689247</v>
      </c>
      <c r="J108">
        <v>269.69067145097978</v>
      </c>
      <c r="K108">
        <v>278.59426311642682</v>
      </c>
      <c r="L108">
        <v>333.38610622615653</v>
      </c>
    </row>
    <row r="109" spans="1:12" x14ac:dyDescent="0.25">
      <c r="A109">
        <v>228.33541443872454</v>
      </c>
      <c r="B109">
        <v>274.46389961564648</v>
      </c>
      <c r="C109">
        <v>228.85781269934529</v>
      </c>
      <c r="D109">
        <v>237.40579335805424</v>
      </c>
      <c r="E109">
        <v>271.72017931464808</v>
      </c>
      <c r="F109">
        <v>245.61738983983878</v>
      </c>
      <c r="G109">
        <v>248.48556052019691</v>
      </c>
      <c r="H109">
        <v>261.91432784481361</v>
      </c>
      <c r="I109">
        <v>276.45651948563818</v>
      </c>
      <c r="J109">
        <v>291.93017378791461</v>
      </c>
      <c r="K109">
        <v>299.09042118402687</v>
      </c>
      <c r="L109">
        <v>346.09887725943588</v>
      </c>
    </row>
    <row r="110" spans="1:12" x14ac:dyDescent="0.25">
      <c r="A110">
        <v>247.45731490578706</v>
      </c>
      <c r="B110">
        <v>262.11162641414592</v>
      </c>
      <c r="C110">
        <v>231.51166690805294</v>
      </c>
      <c r="D110">
        <v>245.57738461551548</v>
      </c>
      <c r="E110">
        <v>282.86685463853979</v>
      </c>
      <c r="F110">
        <v>245.39248780088394</v>
      </c>
      <c r="G110">
        <v>251.32421245958378</v>
      </c>
      <c r="H110">
        <v>255.50147782794025</v>
      </c>
      <c r="I110">
        <v>291.23328798951883</v>
      </c>
      <c r="J110">
        <v>290.50658769963138</v>
      </c>
      <c r="K110">
        <v>292.83965442138486</v>
      </c>
      <c r="L110">
        <v>345.50436791471304</v>
      </c>
    </row>
    <row r="111" spans="1:12" x14ac:dyDescent="0.25">
      <c r="A111">
        <v>239.80096841913232</v>
      </c>
      <c r="B111">
        <v>257.74502266130884</v>
      </c>
      <c r="C111">
        <v>245.59340625405218</v>
      </c>
      <c r="D111">
        <v>243.28642384258006</v>
      </c>
      <c r="E111">
        <v>284.32600512166971</v>
      </c>
      <c r="F111">
        <v>240.77862883177337</v>
      </c>
      <c r="G111">
        <v>259.3948236137303</v>
      </c>
      <c r="H111">
        <v>256.27761846695768</v>
      </c>
      <c r="I111">
        <v>285.22411930929536</v>
      </c>
      <c r="J111">
        <v>294.80258615658323</v>
      </c>
      <c r="K111">
        <v>290.38491025253677</v>
      </c>
      <c r="L111">
        <v>347.90782787784713</v>
      </c>
    </row>
    <row r="112" spans="1:12" x14ac:dyDescent="0.25">
      <c r="A112">
        <v>253.6301896142287</v>
      </c>
      <c r="B112">
        <v>260.92051797775417</v>
      </c>
      <c r="C112">
        <v>254.36321527948553</v>
      </c>
      <c r="D112">
        <v>257.21037519623883</v>
      </c>
      <c r="E112">
        <v>276.57576683096869</v>
      </c>
      <c r="F112">
        <v>253.1784133561051</v>
      </c>
      <c r="G112">
        <v>253.8334403836524</v>
      </c>
      <c r="H112">
        <v>261.10827096098694</v>
      </c>
      <c r="I112">
        <v>308.45042978936925</v>
      </c>
      <c r="J112">
        <v>317.7139435932873</v>
      </c>
      <c r="K112">
        <v>301.50722122992289</v>
      </c>
      <c r="L112">
        <v>378.05500372104405</v>
      </c>
    </row>
    <row r="113" spans="1:12" x14ac:dyDescent="0.25">
      <c r="A113">
        <v>234.16471102278965</v>
      </c>
      <c r="B113">
        <v>266.5875211418134</v>
      </c>
      <c r="C113">
        <v>258.11412223892347</v>
      </c>
      <c r="D113">
        <v>233.82271656432039</v>
      </c>
      <c r="E113">
        <v>291.37618634025267</v>
      </c>
      <c r="F113">
        <v>241.82766768797944</v>
      </c>
      <c r="G113">
        <v>263.22056822065917</v>
      </c>
      <c r="H113">
        <v>246.66811095130163</v>
      </c>
      <c r="I113">
        <v>276.81011077097395</v>
      </c>
      <c r="J113">
        <v>292.77208798953882</v>
      </c>
      <c r="K113">
        <v>316.53088653324158</v>
      </c>
      <c r="L113">
        <v>380.31744710149326</v>
      </c>
    </row>
    <row r="114" spans="1:12" x14ac:dyDescent="0.25">
      <c r="A114">
        <v>238.36472248754836</v>
      </c>
      <c r="B114">
        <v>256.52682470369399</v>
      </c>
      <c r="C114">
        <v>234.894456406785</v>
      </c>
      <c r="D114">
        <v>254.03311710286204</v>
      </c>
      <c r="E114">
        <v>273.85423159423664</v>
      </c>
      <c r="F114">
        <v>254.5559101381146</v>
      </c>
      <c r="G114">
        <v>245.17293206085262</v>
      </c>
      <c r="H114">
        <v>265.56320251769489</v>
      </c>
      <c r="I114">
        <v>285.11944836159591</v>
      </c>
      <c r="J114">
        <v>306.9874952165402</v>
      </c>
      <c r="K114">
        <v>321.71096285146467</v>
      </c>
      <c r="L114">
        <v>376.69242264417528</v>
      </c>
    </row>
    <row r="115" spans="1:12" x14ac:dyDescent="0.25">
      <c r="A115">
        <v>259.54979679224334</v>
      </c>
      <c r="B115">
        <v>259.7216659792411</v>
      </c>
      <c r="C115">
        <v>237.95175483851582</v>
      </c>
      <c r="D115">
        <v>221.9960265230734</v>
      </c>
      <c r="E115">
        <v>267.57355182890581</v>
      </c>
      <c r="F115">
        <v>229.85193526895014</v>
      </c>
      <c r="G115">
        <v>231.71454614425076</v>
      </c>
      <c r="H115">
        <v>225.11557694429581</v>
      </c>
      <c r="I115">
        <v>260.72742042617375</v>
      </c>
      <c r="J115">
        <v>259.21557139028357</v>
      </c>
      <c r="K115">
        <v>272.65911418891307</v>
      </c>
      <c r="L115">
        <v>299.54478195111142</v>
      </c>
    </row>
    <row r="116" spans="1:12" x14ac:dyDescent="0.25">
      <c r="A116">
        <v>243.12793299313162</v>
      </c>
      <c r="B116">
        <v>262.87413551404359</v>
      </c>
      <c r="C116">
        <v>263.34735612352904</v>
      </c>
      <c r="D116">
        <v>250.03733821326387</v>
      </c>
      <c r="E116">
        <v>284.0993999494363</v>
      </c>
      <c r="F116">
        <v>239.93105348259346</v>
      </c>
      <c r="G116">
        <v>276.12370701830514</v>
      </c>
      <c r="H116">
        <v>277.81038962766445</v>
      </c>
      <c r="I116">
        <v>292.05109384654992</v>
      </c>
      <c r="J116">
        <v>297.53669380705878</v>
      </c>
      <c r="K116">
        <v>334.4414907189543</v>
      </c>
      <c r="L116">
        <v>385.46254954725686</v>
      </c>
    </row>
    <row r="117" spans="1:12" x14ac:dyDescent="0.25">
      <c r="A117">
        <v>241.84373881573839</v>
      </c>
      <c r="B117">
        <v>265.65533970971848</v>
      </c>
      <c r="C117">
        <v>233.436239065884</v>
      </c>
      <c r="D117">
        <v>229.43158856096213</v>
      </c>
      <c r="E117">
        <v>231.02773500478503</v>
      </c>
      <c r="F117">
        <v>235.90161953796351</v>
      </c>
      <c r="G117">
        <v>231.83472157766971</v>
      </c>
      <c r="H117">
        <v>233.89680020015766</v>
      </c>
      <c r="I117">
        <v>235.78113920353593</v>
      </c>
      <c r="J117">
        <v>245.66573725537063</v>
      </c>
      <c r="K117">
        <v>244.77858097638543</v>
      </c>
      <c r="L117">
        <v>281.94768464872891</v>
      </c>
    </row>
    <row r="118" spans="1:12" x14ac:dyDescent="0.25">
      <c r="A118">
        <v>246.32430015633443</v>
      </c>
      <c r="B118">
        <v>259.20132721540608</v>
      </c>
      <c r="C118">
        <v>257.44559947183319</v>
      </c>
      <c r="D118">
        <v>235.31651593719849</v>
      </c>
      <c r="E118">
        <v>270.54355091537229</v>
      </c>
      <c r="F118">
        <v>250.37085102734432</v>
      </c>
      <c r="G118">
        <v>255.6119995539967</v>
      </c>
      <c r="H118">
        <v>250.25510859773223</v>
      </c>
      <c r="I118">
        <v>261.49654920555218</v>
      </c>
      <c r="J118">
        <v>297.72246398141004</v>
      </c>
      <c r="K118">
        <v>283.67218422359502</v>
      </c>
      <c r="L118">
        <v>341.90860480044142</v>
      </c>
    </row>
    <row r="119" spans="1:12" x14ac:dyDescent="0.25">
      <c r="A119">
        <v>243.95891967906073</v>
      </c>
      <c r="B119">
        <v>268.26868700508629</v>
      </c>
      <c r="C119">
        <v>241.40644263005353</v>
      </c>
      <c r="D119">
        <v>261.70501163617047</v>
      </c>
      <c r="E119">
        <v>294.84209997961381</v>
      </c>
      <c r="F119">
        <v>263.57679198855544</v>
      </c>
      <c r="G119">
        <v>268.87836886761238</v>
      </c>
      <c r="H119">
        <v>293.3805322356269</v>
      </c>
      <c r="I119">
        <v>304.0568116046162</v>
      </c>
      <c r="J119">
        <v>303.3212437921091</v>
      </c>
      <c r="K119">
        <v>328.43815470182307</v>
      </c>
      <c r="L119">
        <v>384.50910330340542</v>
      </c>
    </row>
    <row r="120" spans="1:12" x14ac:dyDescent="0.25">
      <c r="A120">
        <v>226.21154475450919</v>
      </c>
      <c r="B120">
        <v>259.3549296107729</v>
      </c>
      <c r="C120">
        <v>252.58763528387811</v>
      </c>
      <c r="D120">
        <v>255.53869488034874</v>
      </c>
      <c r="E120">
        <v>282.58221118197622</v>
      </c>
      <c r="F120">
        <v>267.41329761994984</v>
      </c>
      <c r="G120">
        <v>268.61183841174403</v>
      </c>
      <c r="H120">
        <v>298.27465418521319</v>
      </c>
      <c r="I120">
        <v>305.67400690907084</v>
      </c>
      <c r="J120">
        <v>312.18665056737058</v>
      </c>
      <c r="K120">
        <v>352.20719009671967</v>
      </c>
      <c r="L120">
        <v>390.77963841834253</v>
      </c>
    </row>
    <row r="121" spans="1:12" x14ac:dyDescent="0.25">
      <c r="A121">
        <v>224.60741894942933</v>
      </c>
      <c r="B121">
        <v>257.46264289085508</v>
      </c>
      <c r="C121">
        <v>236.73703307780551</v>
      </c>
      <c r="D121">
        <v>225.32896037354345</v>
      </c>
      <c r="E121">
        <v>266.09750404745967</v>
      </c>
      <c r="F121">
        <v>233.78902783349602</v>
      </c>
      <c r="G121">
        <v>234.28052585371475</v>
      </c>
      <c r="H121">
        <v>231.64538405402917</v>
      </c>
      <c r="I121">
        <v>250.30561239895059</v>
      </c>
      <c r="J121">
        <v>262.63198536775622</v>
      </c>
      <c r="K121">
        <v>253.66079512756326</v>
      </c>
      <c r="L121">
        <v>309.85712835557462</v>
      </c>
    </row>
    <row r="122" spans="1:12" x14ac:dyDescent="0.25">
      <c r="A122">
        <v>226.47524293414895</v>
      </c>
      <c r="B122">
        <v>275.25859166433514</v>
      </c>
      <c r="C122">
        <v>251.70075262614017</v>
      </c>
      <c r="D122">
        <v>228.65461862977705</v>
      </c>
      <c r="E122">
        <v>258.51784029762655</v>
      </c>
      <c r="F122">
        <v>241.10466455664334</v>
      </c>
      <c r="G122">
        <v>237.90939065572059</v>
      </c>
      <c r="H122">
        <v>248.70415203473246</v>
      </c>
      <c r="I122">
        <v>260.83417491734861</v>
      </c>
      <c r="J122">
        <v>287.2573074570484</v>
      </c>
      <c r="K122">
        <v>287.44715864663004</v>
      </c>
      <c r="L122">
        <v>336.69995435566682</v>
      </c>
    </row>
    <row r="123" spans="1:12" x14ac:dyDescent="0.25">
      <c r="A123">
        <v>240.91060736647145</v>
      </c>
      <c r="B123">
        <v>267.87447505058748</v>
      </c>
      <c r="C123">
        <v>250.16224043915631</v>
      </c>
      <c r="D123">
        <v>254.76702346059804</v>
      </c>
      <c r="E123">
        <v>267.19570372858755</v>
      </c>
      <c r="F123">
        <v>241.40375595633972</v>
      </c>
      <c r="G123">
        <v>259.30782448345275</v>
      </c>
      <c r="H123">
        <v>264.40003846652382</v>
      </c>
      <c r="I123">
        <v>287.45589125496468</v>
      </c>
      <c r="J123">
        <v>304.67212136429538</v>
      </c>
      <c r="K123">
        <v>325.21044450795455</v>
      </c>
      <c r="L123">
        <v>382.48763566258407</v>
      </c>
    </row>
    <row r="124" spans="1:12" x14ac:dyDescent="0.25">
      <c r="A124">
        <v>236.22244212818165</v>
      </c>
      <c r="B124">
        <v>253.84198337682952</v>
      </c>
      <c r="C124">
        <v>241.37085402237525</v>
      </c>
      <c r="D124">
        <v>221.77144400680231</v>
      </c>
      <c r="E124">
        <v>268.47883225759108</v>
      </c>
      <c r="F124">
        <v>242.41033754296924</v>
      </c>
      <c r="G124">
        <v>239.86925545912976</v>
      </c>
      <c r="H124">
        <v>245.60421119025497</v>
      </c>
      <c r="I124">
        <v>268.59393700860551</v>
      </c>
      <c r="J124">
        <v>279.33728323644686</v>
      </c>
      <c r="K124">
        <v>280.83081639162441</v>
      </c>
      <c r="L124">
        <v>336.07901781209785</v>
      </c>
    </row>
    <row r="125" spans="1:12" x14ac:dyDescent="0.25">
      <c r="A125">
        <v>246.61463610603838</v>
      </c>
      <c r="B125">
        <v>269.93213361644672</v>
      </c>
      <c r="C125">
        <v>236.12871834665145</v>
      </c>
      <c r="D125">
        <v>226.64842734636426</v>
      </c>
      <c r="E125">
        <v>266.11312823988288</v>
      </c>
      <c r="F125">
        <v>247.97614243925815</v>
      </c>
      <c r="G125">
        <v>252.7092507606632</v>
      </c>
      <c r="H125">
        <v>277.26095032098249</v>
      </c>
      <c r="I125">
        <v>274.88756570989517</v>
      </c>
      <c r="J125">
        <v>304.61801068491144</v>
      </c>
      <c r="K125">
        <v>322.1816361259477</v>
      </c>
      <c r="L125">
        <v>360.73358591100606</v>
      </c>
    </row>
    <row r="126" spans="1:12" x14ac:dyDescent="0.25">
      <c r="A126">
        <v>232.22556040121822</v>
      </c>
      <c r="B126">
        <v>236.49602349961611</v>
      </c>
      <c r="C126">
        <v>234.57842184835079</v>
      </c>
      <c r="D126">
        <v>226.00888420429985</v>
      </c>
      <c r="E126">
        <v>283.67153114220093</v>
      </c>
      <c r="F126">
        <v>236.07644278581756</v>
      </c>
      <c r="G126">
        <v>236.86285578079975</v>
      </c>
      <c r="H126">
        <v>251.60855380884456</v>
      </c>
      <c r="I126">
        <v>280.25089516485093</v>
      </c>
      <c r="J126">
        <v>277.93350638382532</v>
      </c>
      <c r="K126">
        <v>294.77467092020385</v>
      </c>
      <c r="L126">
        <v>340.57046799466775</v>
      </c>
    </row>
    <row r="127" spans="1:12" x14ac:dyDescent="0.25">
      <c r="A127">
        <v>242.76736985903122</v>
      </c>
      <c r="B127">
        <v>243.80606027406603</v>
      </c>
      <c r="C127">
        <v>242.8809109205306</v>
      </c>
      <c r="D127">
        <v>242.63415361041098</v>
      </c>
      <c r="E127">
        <v>281.18340509638688</v>
      </c>
      <c r="F127">
        <v>269.8814039360218</v>
      </c>
      <c r="G127">
        <v>271.2670482483274</v>
      </c>
      <c r="H127">
        <v>280.81733346919668</v>
      </c>
      <c r="I127">
        <v>307.47263518266874</v>
      </c>
      <c r="J127">
        <v>312.84159593010236</v>
      </c>
      <c r="K127">
        <v>329.17248258702898</v>
      </c>
      <c r="L127">
        <v>397.36122684055903</v>
      </c>
    </row>
    <row r="128" spans="1:12" x14ac:dyDescent="0.25">
      <c r="A128">
        <v>260.03895669967153</v>
      </c>
      <c r="B128">
        <v>263.51814511908992</v>
      </c>
      <c r="C128">
        <v>232.2723315790187</v>
      </c>
      <c r="D128">
        <v>251.89263989469961</v>
      </c>
      <c r="E128">
        <v>294.79084376639815</v>
      </c>
      <c r="F128">
        <v>255.70850214006609</v>
      </c>
      <c r="G128">
        <v>271.53288311370517</v>
      </c>
      <c r="H128">
        <v>272.74658661353902</v>
      </c>
      <c r="I128">
        <v>307.15469772310314</v>
      </c>
      <c r="J128">
        <v>293.9664319497557</v>
      </c>
      <c r="K128">
        <v>319.49852506411156</v>
      </c>
      <c r="L128">
        <v>384.96326535523036</v>
      </c>
    </row>
    <row r="129" spans="1:12" x14ac:dyDescent="0.25">
      <c r="A129">
        <v>236.10488369990659</v>
      </c>
      <c r="B129">
        <v>266.63790232211755</v>
      </c>
      <c r="C129">
        <v>241.8573436737351</v>
      </c>
      <c r="D129">
        <v>253.99910312704924</v>
      </c>
      <c r="E129">
        <v>293.21746248415366</v>
      </c>
      <c r="F129">
        <v>262.78733748327375</v>
      </c>
      <c r="G129">
        <v>255.56208477277892</v>
      </c>
      <c r="H129">
        <v>261.96040796001876</v>
      </c>
      <c r="I129">
        <v>306.79784212902729</v>
      </c>
      <c r="J129">
        <v>295.14458558548415</v>
      </c>
      <c r="K129">
        <v>330.52872952548319</v>
      </c>
      <c r="L129">
        <v>387.77615195548128</v>
      </c>
    </row>
    <row r="130" spans="1:12" x14ac:dyDescent="0.25">
      <c r="A130">
        <v>246.08103094231706</v>
      </c>
      <c r="B130">
        <v>268.54025541498606</v>
      </c>
      <c r="C130">
        <v>245.44633676985111</v>
      </c>
      <c r="D130">
        <v>247.12701517569027</v>
      </c>
      <c r="E130">
        <v>288.85743021686687</v>
      </c>
      <c r="F130">
        <v>255.90853810930665</v>
      </c>
      <c r="G130">
        <v>275.5746747465958</v>
      </c>
      <c r="H130">
        <v>270.99110544004486</v>
      </c>
      <c r="I130">
        <v>308.78322851024797</v>
      </c>
      <c r="J130">
        <v>319.75997800176475</v>
      </c>
      <c r="K130">
        <v>320.80472886197316</v>
      </c>
      <c r="L130">
        <v>385.62655185991156</v>
      </c>
    </row>
    <row r="131" spans="1:12" x14ac:dyDescent="0.25">
      <c r="A131">
        <v>236.97163410275911</v>
      </c>
      <c r="B131">
        <v>285.67012529689561</v>
      </c>
      <c r="C131">
        <v>231.74432685081041</v>
      </c>
      <c r="D131">
        <v>235.27322745740224</v>
      </c>
      <c r="E131">
        <v>262.99653595511791</v>
      </c>
      <c r="F131">
        <v>229.98517724997151</v>
      </c>
      <c r="G131">
        <v>244.25545112020694</v>
      </c>
      <c r="H131">
        <v>257.65423562228176</v>
      </c>
      <c r="I131">
        <v>274.48896039456707</v>
      </c>
      <c r="J131">
        <v>285.45958643263907</v>
      </c>
      <c r="K131">
        <v>288.95243801789491</v>
      </c>
      <c r="L131">
        <v>342.40217346866592</v>
      </c>
    </row>
    <row r="132" spans="1:12" x14ac:dyDescent="0.25">
      <c r="A132">
        <v>234.91444104996918</v>
      </c>
      <c r="B132">
        <v>254.58546357339165</v>
      </c>
      <c r="C132">
        <v>234.29902773175073</v>
      </c>
      <c r="D132">
        <v>242.20852912571786</v>
      </c>
      <c r="E132">
        <v>261.75937958930456</v>
      </c>
      <c r="F132">
        <v>238.94338605870431</v>
      </c>
      <c r="G132">
        <v>247.80227143793363</v>
      </c>
      <c r="H132">
        <v>268.30383023112466</v>
      </c>
      <c r="I132">
        <v>271.72707470200197</v>
      </c>
      <c r="J132">
        <v>297.67423797680243</v>
      </c>
      <c r="K132">
        <v>306.40825680754267</v>
      </c>
      <c r="L132">
        <v>386.36636044859932</v>
      </c>
    </row>
    <row r="133" spans="1:12" x14ac:dyDescent="0.25">
      <c r="A133">
        <v>258.12828004509549</v>
      </c>
      <c r="B133">
        <v>259.72659470987264</v>
      </c>
      <c r="C133">
        <v>254.00984050530488</v>
      </c>
      <c r="D133">
        <v>250.2937457916932</v>
      </c>
      <c r="E133">
        <v>296.77826484760851</v>
      </c>
      <c r="F133">
        <v>247.44189008353294</v>
      </c>
      <c r="G133">
        <v>276.9040119049593</v>
      </c>
      <c r="H133">
        <v>292.09640171358484</v>
      </c>
      <c r="I133">
        <v>308.63568059906038</v>
      </c>
      <c r="J133">
        <v>325.7528141835395</v>
      </c>
      <c r="K133">
        <v>346.88558974994061</v>
      </c>
      <c r="L133">
        <v>410.39369287920675</v>
      </c>
    </row>
    <row r="134" spans="1:12" x14ac:dyDescent="0.25">
      <c r="A134">
        <v>256.46012995886991</v>
      </c>
      <c r="B134">
        <v>251.74843782473621</v>
      </c>
      <c r="C134">
        <v>247.64103054751965</v>
      </c>
      <c r="D134">
        <v>237.65811446370694</v>
      </c>
      <c r="E134">
        <v>270.87840714458139</v>
      </c>
      <c r="F134">
        <v>265.3585071738645</v>
      </c>
      <c r="G134">
        <v>269.96586238526578</v>
      </c>
      <c r="H134">
        <v>260.01850762977284</v>
      </c>
      <c r="I134">
        <v>282.16248408935769</v>
      </c>
      <c r="J134">
        <v>299.02493682168517</v>
      </c>
      <c r="K134">
        <v>313.61458454727921</v>
      </c>
      <c r="L134">
        <v>363.0621537645535</v>
      </c>
    </row>
    <row r="135" spans="1:12" x14ac:dyDescent="0.25">
      <c r="A135">
        <v>232.69299320248587</v>
      </c>
      <c r="B135">
        <v>255.60310014502886</v>
      </c>
      <c r="C135">
        <v>234.06153633228379</v>
      </c>
      <c r="D135">
        <v>242.58671339252476</v>
      </c>
      <c r="E135">
        <v>272.74049279195327</v>
      </c>
      <c r="F135">
        <v>252.10518109843321</v>
      </c>
      <c r="G135">
        <v>257.1344834770577</v>
      </c>
      <c r="H135">
        <v>256.68855779093212</v>
      </c>
      <c r="I135">
        <v>287.38131103434478</v>
      </c>
      <c r="J135">
        <v>291.21316353379643</v>
      </c>
      <c r="K135">
        <v>320.05641015824966</v>
      </c>
      <c r="L135">
        <v>359.92293645592042</v>
      </c>
    </row>
    <row r="136" spans="1:12" x14ac:dyDescent="0.25">
      <c r="A136">
        <v>241.29952029822513</v>
      </c>
      <c r="B136">
        <v>275.98978565309096</v>
      </c>
      <c r="C136">
        <v>257.68645218497483</v>
      </c>
      <c r="D136">
        <v>255.88762912501508</v>
      </c>
      <c r="E136">
        <v>285.33886065517981</v>
      </c>
      <c r="F136">
        <v>271.63874398323361</v>
      </c>
      <c r="G136">
        <v>262.00618903933326</v>
      </c>
      <c r="H136">
        <v>288.94364943157211</v>
      </c>
      <c r="I136">
        <v>301.08807106360348</v>
      </c>
      <c r="J136">
        <v>338.59258462813318</v>
      </c>
      <c r="K136">
        <v>344.20215387097483</v>
      </c>
      <c r="L136">
        <v>404.80489850404456</v>
      </c>
    </row>
    <row r="137" spans="1:12" x14ac:dyDescent="0.25">
      <c r="A137">
        <v>252.24801284144385</v>
      </c>
      <c r="B137">
        <v>271.08677459906789</v>
      </c>
      <c r="C137">
        <v>233.19775012754982</v>
      </c>
      <c r="D137">
        <v>260.25290477911784</v>
      </c>
      <c r="E137">
        <v>282.02516692280238</v>
      </c>
      <c r="F137">
        <v>244.7595358593733</v>
      </c>
      <c r="G137">
        <v>249.34276078500579</v>
      </c>
      <c r="H137">
        <v>245.89396851301714</v>
      </c>
      <c r="I137">
        <v>280.79407469461836</v>
      </c>
      <c r="J137">
        <v>279.20472118949817</v>
      </c>
      <c r="K137">
        <v>291.10294741838413</v>
      </c>
      <c r="L137">
        <v>341.72019585906594</v>
      </c>
    </row>
    <row r="138" spans="1:12" x14ac:dyDescent="0.25">
      <c r="A138">
        <v>251.86631077628914</v>
      </c>
      <c r="B138">
        <v>265.70885414817127</v>
      </c>
      <c r="C138">
        <v>248.80875996555685</v>
      </c>
      <c r="D138">
        <v>245.64702974519932</v>
      </c>
      <c r="E138">
        <v>271.91434930935208</v>
      </c>
      <c r="F138">
        <v>232.600664343886</v>
      </c>
      <c r="G138">
        <v>244.89151788475868</v>
      </c>
      <c r="H138">
        <v>275.52889903073662</v>
      </c>
      <c r="I138">
        <v>275.44588894884885</v>
      </c>
      <c r="J138">
        <v>299.23055947597692</v>
      </c>
      <c r="K138">
        <v>315.12964543180988</v>
      </c>
      <c r="L138">
        <v>350.85723557005605</v>
      </c>
    </row>
    <row r="139" spans="1:12" x14ac:dyDescent="0.25">
      <c r="A139">
        <v>252.4590914841169</v>
      </c>
      <c r="B139">
        <v>259.39124416207113</v>
      </c>
      <c r="C139">
        <v>231.62807217631251</v>
      </c>
      <c r="D139">
        <v>239.52398373637919</v>
      </c>
      <c r="E139">
        <v>271.41707111410909</v>
      </c>
      <c r="F139">
        <v>259.33845700003781</v>
      </c>
      <c r="G139">
        <v>261.05855606958625</v>
      </c>
      <c r="H139">
        <v>256.64661148195074</v>
      </c>
      <c r="I139">
        <v>297.96561613985341</v>
      </c>
      <c r="J139">
        <v>308.57121610166126</v>
      </c>
      <c r="K139">
        <v>312.43093037939133</v>
      </c>
      <c r="L139">
        <v>376.0966644679055</v>
      </c>
    </row>
    <row r="140" spans="1:12" x14ac:dyDescent="0.25">
      <c r="A140">
        <v>237.16690512051599</v>
      </c>
      <c r="B140">
        <v>257.18862719931616</v>
      </c>
      <c r="C140">
        <v>254.03394263998536</v>
      </c>
      <c r="D140">
        <v>244.25646931804781</v>
      </c>
      <c r="E140">
        <v>293.7167613577044</v>
      </c>
      <c r="F140">
        <v>259.082645179895</v>
      </c>
      <c r="G140">
        <v>253.37059050012797</v>
      </c>
      <c r="H140">
        <v>274.23204394832305</v>
      </c>
      <c r="I140">
        <v>296.0089286305124</v>
      </c>
      <c r="J140">
        <v>326.01142681037896</v>
      </c>
      <c r="K140">
        <v>332.05183769139671</v>
      </c>
      <c r="L140">
        <v>393.47398093511214</v>
      </c>
    </row>
    <row r="141" spans="1:12" x14ac:dyDescent="0.25">
      <c r="A141">
        <v>251.68316004395973</v>
      </c>
      <c r="B141">
        <v>264.18571910049974</v>
      </c>
      <c r="C141">
        <v>263.87503012483222</v>
      </c>
      <c r="D141">
        <v>251.91750602606692</v>
      </c>
      <c r="E141">
        <v>291.07922937119088</v>
      </c>
      <c r="F141">
        <v>270.6620162803905</v>
      </c>
      <c r="G141">
        <v>259.94877806829953</v>
      </c>
      <c r="H141">
        <v>268.94091682939023</v>
      </c>
      <c r="I141">
        <v>286.84571368718593</v>
      </c>
      <c r="J141">
        <v>296.48517202911933</v>
      </c>
      <c r="K141">
        <v>322.94030019582823</v>
      </c>
      <c r="L141">
        <v>387.77524020008286</v>
      </c>
    </row>
    <row r="142" spans="1:12" x14ac:dyDescent="0.25">
      <c r="A142">
        <v>258.57464428688655</v>
      </c>
      <c r="B142">
        <v>269.82479630060419</v>
      </c>
      <c r="C142">
        <v>257.05315459006414</v>
      </c>
      <c r="D142">
        <v>251.73226240926635</v>
      </c>
      <c r="E142">
        <v>269.90203921380578</v>
      </c>
      <c r="F142">
        <v>252.18669133304962</v>
      </c>
      <c r="G142">
        <v>255.5157108484097</v>
      </c>
      <c r="H142">
        <v>273.52124533547072</v>
      </c>
      <c r="I142">
        <v>287.8936243970964</v>
      </c>
      <c r="J142">
        <v>299.37571521060408</v>
      </c>
      <c r="K142">
        <v>301.59047690070361</v>
      </c>
      <c r="L142">
        <v>348.70876049790422</v>
      </c>
    </row>
    <row r="143" spans="1:12" x14ac:dyDescent="0.25">
      <c r="A143">
        <v>232.64720184253352</v>
      </c>
      <c r="B143">
        <v>246.70876584231644</v>
      </c>
      <c r="C143">
        <v>230.82063250907638</v>
      </c>
      <c r="D143">
        <v>213.09282793667879</v>
      </c>
      <c r="E143">
        <v>262.08137257591648</v>
      </c>
      <c r="F143">
        <v>232.70446856990341</v>
      </c>
      <c r="G143">
        <v>248.13033292156439</v>
      </c>
      <c r="H143">
        <v>239.64122529062882</v>
      </c>
      <c r="I143">
        <v>261.13722421228925</v>
      </c>
      <c r="J143">
        <v>286.35248238347685</v>
      </c>
      <c r="K143">
        <v>279.33664886783208</v>
      </c>
      <c r="L143">
        <v>326.11041476230474</v>
      </c>
    </row>
    <row r="144" spans="1:12" x14ac:dyDescent="0.25">
      <c r="A144">
        <v>253.79357666139171</v>
      </c>
      <c r="B144">
        <v>234.93434801153037</v>
      </c>
      <c r="C144">
        <v>225.66694170022097</v>
      </c>
      <c r="D144">
        <v>228.13843193838966</v>
      </c>
      <c r="E144">
        <v>253.75461221409907</v>
      </c>
      <c r="F144">
        <v>233.05707894799824</v>
      </c>
      <c r="G144">
        <v>260.84476230000359</v>
      </c>
      <c r="H144">
        <v>253.13113853536757</v>
      </c>
      <c r="I144">
        <v>265.8151057754713</v>
      </c>
      <c r="J144">
        <v>274.42606515509573</v>
      </c>
      <c r="K144">
        <v>307.79980862486019</v>
      </c>
      <c r="L144">
        <v>343.8397838516949</v>
      </c>
    </row>
    <row r="145" spans="1:12" x14ac:dyDescent="0.25">
      <c r="A145">
        <v>246.86998067552685</v>
      </c>
      <c r="B145">
        <v>255.40015596390927</v>
      </c>
      <c r="C145">
        <v>230.09817005708615</v>
      </c>
      <c r="D145">
        <v>228.15279025245073</v>
      </c>
      <c r="E145">
        <v>287.25884569331663</v>
      </c>
      <c r="F145">
        <v>258.46740802006815</v>
      </c>
      <c r="G145">
        <v>257.82955389822638</v>
      </c>
      <c r="H145">
        <v>271.20723605904425</v>
      </c>
      <c r="I145">
        <v>276.88225724106348</v>
      </c>
      <c r="J145">
        <v>304.28417183496958</v>
      </c>
      <c r="K145">
        <v>333.14446912471897</v>
      </c>
      <c r="L145">
        <v>384.99275633189467</v>
      </c>
    </row>
    <row r="146" spans="1:12" x14ac:dyDescent="0.25">
      <c r="A146">
        <v>242.84204135821741</v>
      </c>
      <c r="B146">
        <v>247.80250408216071</v>
      </c>
      <c r="C146">
        <v>216.73843377189851</v>
      </c>
      <c r="D146">
        <v>228.02764187344755</v>
      </c>
      <c r="E146">
        <v>273.74583672252754</v>
      </c>
      <c r="F146">
        <v>235.55808351414404</v>
      </c>
      <c r="G146">
        <v>240.15710435351073</v>
      </c>
      <c r="H146">
        <v>245.39402091295827</v>
      </c>
      <c r="I146">
        <v>270.17415966327133</v>
      </c>
      <c r="J146">
        <v>271.92707391174764</v>
      </c>
      <c r="K146">
        <v>292.50023750712302</v>
      </c>
      <c r="L146">
        <v>336.19325222772568</v>
      </c>
    </row>
    <row r="147" spans="1:12" x14ac:dyDescent="0.25">
      <c r="A147">
        <v>250.67207164674281</v>
      </c>
      <c r="B147">
        <v>273.52509656273662</v>
      </c>
      <c r="C147">
        <v>245.51838877005233</v>
      </c>
      <c r="D147">
        <v>248.39733586339813</v>
      </c>
      <c r="E147">
        <v>305.34984551938112</v>
      </c>
      <c r="F147">
        <v>259.48319495679732</v>
      </c>
      <c r="G147">
        <v>279.93903118359071</v>
      </c>
      <c r="H147">
        <v>292.61915248537173</v>
      </c>
      <c r="I147">
        <v>322.00416465740705</v>
      </c>
      <c r="J147">
        <v>331.92220216591789</v>
      </c>
      <c r="K147">
        <v>346.1608660403063</v>
      </c>
      <c r="L147">
        <v>398.04986215543903</v>
      </c>
    </row>
    <row r="148" spans="1:12" x14ac:dyDescent="0.25">
      <c r="A148">
        <v>232.55369388611442</v>
      </c>
      <c r="B148">
        <v>281.75776459092907</v>
      </c>
      <c r="C148">
        <v>249.94196674781</v>
      </c>
      <c r="D148">
        <v>216.82035543347274</v>
      </c>
      <c r="E148">
        <v>281.98812659126651</v>
      </c>
      <c r="F148">
        <v>239.03210022141596</v>
      </c>
      <c r="G148">
        <v>255.99336190262605</v>
      </c>
      <c r="H148">
        <v>250.40643249728851</v>
      </c>
      <c r="I148">
        <v>265.57046608111727</v>
      </c>
      <c r="J148">
        <v>265.15165043282786</v>
      </c>
      <c r="K148">
        <v>291.38750732175237</v>
      </c>
      <c r="L148">
        <v>332.80831950328883</v>
      </c>
    </row>
    <row r="149" spans="1:12" x14ac:dyDescent="0.25">
      <c r="A149">
        <v>250.49775998454149</v>
      </c>
      <c r="B149">
        <v>255.65691008321855</v>
      </c>
      <c r="C149">
        <v>238.43591488574836</v>
      </c>
      <c r="D149">
        <v>241.71521605187621</v>
      </c>
      <c r="E149">
        <v>275.26776422765136</v>
      </c>
      <c r="F149">
        <v>227.19966322092819</v>
      </c>
      <c r="G149">
        <v>204.97826928819268</v>
      </c>
      <c r="H149">
        <v>234.60262958960007</v>
      </c>
      <c r="I149">
        <v>235.96167980498612</v>
      </c>
      <c r="J149">
        <v>247.81208674952862</v>
      </c>
      <c r="K149">
        <v>264.68520488149971</v>
      </c>
      <c r="L149">
        <v>295.70577447846745</v>
      </c>
    </row>
    <row r="150" spans="1:12" x14ac:dyDescent="0.25">
      <c r="A150">
        <v>258.26152932324703</v>
      </c>
      <c r="B150">
        <v>271.00200161620535</v>
      </c>
      <c r="C150">
        <v>248.91023809276797</v>
      </c>
      <c r="D150">
        <v>267.01659145524098</v>
      </c>
      <c r="E150">
        <v>307.86114531189349</v>
      </c>
      <c r="F150">
        <v>271.17131402549512</v>
      </c>
      <c r="G150">
        <v>280.67673372758151</v>
      </c>
      <c r="H150">
        <v>287.87983873516004</v>
      </c>
      <c r="I150">
        <v>311.28322121186721</v>
      </c>
      <c r="J150">
        <v>330.62730006069648</v>
      </c>
      <c r="K150">
        <v>350.74640569046147</v>
      </c>
      <c r="L150">
        <v>401.38096891152185</v>
      </c>
    </row>
    <row r="151" spans="1:12" x14ac:dyDescent="0.25">
      <c r="A151">
        <v>247.41607855490744</v>
      </c>
      <c r="B151">
        <v>263.94751974216956</v>
      </c>
      <c r="C151">
        <v>246.1658265555765</v>
      </c>
      <c r="D151">
        <v>236.17595352990918</v>
      </c>
      <c r="E151">
        <v>268.81721206002749</v>
      </c>
      <c r="F151">
        <v>250.08938545527471</v>
      </c>
      <c r="G151">
        <v>254.08574048649268</v>
      </c>
      <c r="H151">
        <v>264.53455494729678</v>
      </c>
      <c r="I151">
        <v>288.83757210286893</v>
      </c>
      <c r="J151">
        <v>287.06370504976854</v>
      </c>
      <c r="K151">
        <v>308.51067357671377</v>
      </c>
      <c r="L151">
        <v>364.37938857435972</v>
      </c>
    </row>
    <row r="152" spans="1:12" x14ac:dyDescent="0.25">
      <c r="A152">
        <v>242.89574263663818</v>
      </c>
      <c r="B152">
        <v>261.36702536360679</v>
      </c>
      <c r="C152">
        <v>241.55010599222061</v>
      </c>
      <c r="D152">
        <v>246.35669159428136</v>
      </c>
      <c r="E152">
        <v>300.15603278910345</v>
      </c>
      <c r="F152">
        <v>246.67429326652882</v>
      </c>
      <c r="G152">
        <v>265.3087793485127</v>
      </c>
      <c r="H152">
        <v>256.52318495845344</v>
      </c>
      <c r="I152">
        <v>262.19397619725606</v>
      </c>
      <c r="J152">
        <v>306.38517126508094</v>
      </c>
      <c r="K152">
        <v>293.61375821920592</v>
      </c>
      <c r="L152">
        <v>367.26667637221885</v>
      </c>
    </row>
    <row r="153" spans="1:12" x14ac:dyDescent="0.25">
      <c r="A153">
        <v>253.94009887704357</v>
      </c>
      <c r="B153">
        <v>256.07640768561879</v>
      </c>
      <c r="C153">
        <v>231.53171660919278</v>
      </c>
      <c r="D153">
        <v>234.60832556613917</v>
      </c>
      <c r="E153">
        <v>271.52785816081706</v>
      </c>
      <c r="F153">
        <v>249.93799783837434</v>
      </c>
      <c r="G153">
        <v>267.22295358300596</v>
      </c>
      <c r="H153">
        <v>268.07726613407783</v>
      </c>
      <c r="I153">
        <v>289.50828495754155</v>
      </c>
      <c r="J153">
        <v>303.14093762397704</v>
      </c>
      <c r="K153">
        <v>331.50900316147653</v>
      </c>
      <c r="L153">
        <v>374.00798830354887</v>
      </c>
    </row>
    <row r="154" spans="1:12" x14ac:dyDescent="0.25">
      <c r="A154">
        <v>245.97666446609344</v>
      </c>
      <c r="B154">
        <v>246.69358085773536</v>
      </c>
      <c r="C154">
        <v>259.11643480272733</v>
      </c>
      <c r="D154">
        <v>249.31369893331745</v>
      </c>
      <c r="E154">
        <v>269.1020737438235</v>
      </c>
      <c r="F154">
        <v>241.43579840599344</v>
      </c>
      <c r="G154">
        <v>247.71042534944536</v>
      </c>
      <c r="H154">
        <v>238.21757836362988</v>
      </c>
      <c r="I154">
        <v>268.67576390391099</v>
      </c>
      <c r="J154">
        <v>287.46119657056386</v>
      </c>
      <c r="K154">
        <v>297.36656697158912</v>
      </c>
      <c r="L154">
        <v>327.69016731234387</v>
      </c>
    </row>
    <row r="155" spans="1:12" x14ac:dyDescent="0.25">
      <c r="A155">
        <v>252.7124252033276</v>
      </c>
      <c r="B155">
        <v>266.49676071636412</v>
      </c>
      <c r="C155">
        <v>244.58410904864246</v>
      </c>
      <c r="D155">
        <v>224.87074933692492</v>
      </c>
      <c r="E155">
        <v>268.34430415836459</v>
      </c>
      <c r="F155">
        <v>241.86468708909578</v>
      </c>
      <c r="G155">
        <v>266.14940740008501</v>
      </c>
      <c r="H155">
        <v>256.0497299202363</v>
      </c>
      <c r="I155">
        <v>294.09720753562237</v>
      </c>
      <c r="J155">
        <v>318.29275972716852</v>
      </c>
      <c r="K155">
        <v>318.40231773248604</v>
      </c>
      <c r="L155">
        <v>383.42392364691989</v>
      </c>
    </row>
    <row r="156" spans="1:12" x14ac:dyDescent="0.25">
      <c r="A156">
        <v>236.80717552868236</v>
      </c>
      <c r="B156">
        <v>265.79347602021193</v>
      </c>
      <c r="C156">
        <v>232.99345868525594</v>
      </c>
      <c r="D156">
        <v>247.45194076295388</v>
      </c>
      <c r="E156">
        <v>287.43688183405447</v>
      </c>
      <c r="F156">
        <v>256.81153122153938</v>
      </c>
      <c r="G156">
        <v>252.65194589967052</v>
      </c>
      <c r="H156">
        <v>281.28850969724141</v>
      </c>
      <c r="I156">
        <v>309.66059246432712</v>
      </c>
      <c r="J156">
        <v>321.82600472312691</v>
      </c>
      <c r="K156">
        <v>343.73493561598275</v>
      </c>
      <c r="L156">
        <v>398.89773893906971</v>
      </c>
    </row>
    <row r="157" spans="1:12" x14ac:dyDescent="0.25">
      <c r="A157">
        <v>250.54850173641157</v>
      </c>
      <c r="B157">
        <v>267.4854280390702</v>
      </c>
      <c r="C157">
        <v>248.27109949158427</v>
      </c>
      <c r="D157">
        <v>221.25060364659782</v>
      </c>
      <c r="E157">
        <v>291.47646609041112</v>
      </c>
      <c r="F157">
        <v>262.31628394634458</v>
      </c>
      <c r="G157">
        <v>268.42058246259393</v>
      </c>
      <c r="H157">
        <v>260.66277386879574</v>
      </c>
      <c r="I157">
        <v>296.52930424136446</v>
      </c>
      <c r="J157">
        <v>308.07066561940604</v>
      </c>
      <c r="K157">
        <v>330.63671109896711</v>
      </c>
      <c r="L157">
        <v>364.70474712246335</v>
      </c>
    </row>
    <row r="158" spans="1:12" x14ac:dyDescent="0.25">
      <c r="A158">
        <v>238.27859912786627</v>
      </c>
      <c r="B158">
        <v>250.30951910094569</v>
      </c>
      <c r="C158">
        <v>228.48298291072049</v>
      </c>
      <c r="D158">
        <v>230.80912231406452</v>
      </c>
      <c r="E158">
        <v>268.66638915117841</v>
      </c>
      <c r="F158">
        <v>238.63229095377761</v>
      </c>
      <c r="G158">
        <v>252.9797522418018</v>
      </c>
      <c r="H158">
        <v>240.76424507274254</v>
      </c>
      <c r="I158">
        <v>275.32752000097975</v>
      </c>
      <c r="J158">
        <v>298.25404395875699</v>
      </c>
      <c r="K158">
        <v>304.04294297536597</v>
      </c>
      <c r="L158">
        <v>346.70966535019511</v>
      </c>
    </row>
    <row r="159" spans="1:12" x14ac:dyDescent="0.25">
      <c r="A159">
        <v>253.87080259710331</v>
      </c>
      <c r="B159">
        <v>263.83082806634104</v>
      </c>
      <c r="C159">
        <v>231.63722193609937</v>
      </c>
      <c r="D159">
        <v>229.99181568490377</v>
      </c>
      <c r="E159">
        <v>267.72170658722757</v>
      </c>
      <c r="F159">
        <v>253.27077140668058</v>
      </c>
      <c r="G159">
        <v>248.55536197380167</v>
      </c>
      <c r="H159">
        <v>257.44133687392235</v>
      </c>
      <c r="I159">
        <v>288.79473452249567</v>
      </c>
      <c r="J159">
        <v>286.70866509300521</v>
      </c>
      <c r="K159">
        <v>293.76759940067291</v>
      </c>
      <c r="L159">
        <v>370.1798109677411</v>
      </c>
    </row>
    <row r="160" spans="1:12" x14ac:dyDescent="0.25">
      <c r="A160">
        <v>232.00433539419328</v>
      </c>
      <c r="B160">
        <v>254.50645875204762</v>
      </c>
      <c r="C160">
        <v>229.0012634154881</v>
      </c>
      <c r="D160">
        <v>233.40325957795011</v>
      </c>
      <c r="E160">
        <v>285.41817051983799</v>
      </c>
      <c r="F160">
        <v>244.01538745464751</v>
      </c>
      <c r="G160">
        <v>236.32744175355239</v>
      </c>
      <c r="H160">
        <v>256.17849162036117</v>
      </c>
      <c r="I160">
        <v>274.61063815513774</v>
      </c>
      <c r="J160">
        <v>287.63465353001317</v>
      </c>
      <c r="K160">
        <v>296.29762999269866</v>
      </c>
      <c r="L160">
        <v>358.84792918589341</v>
      </c>
    </row>
    <row r="161" spans="1:12" x14ac:dyDescent="0.25">
      <c r="A161">
        <v>248.98536733265007</v>
      </c>
      <c r="B161">
        <v>261.1151253963306</v>
      </c>
      <c r="C161">
        <v>260.03085505795281</v>
      </c>
      <c r="D161">
        <v>245.81530614356458</v>
      </c>
      <c r="E161">
        <v>274.46423972598586</v>
      </c>
      <c r="F161">
        <v>245.93343886119098</v>
      </c>
      <c r="G161">
        <v>260.3535214463958</v>
      </c>
      <c r="H161">
        <v>256.00446086327958</v>
      </c>
      <c r="I161">
        <v>287.84774697799594</v>
      </c>
      <c r="J161">
        <v>287.06656781950568</v>
      </c>
      <c r="K161">
        <v>312.10431203990748</v>
      </c>
      <c r="L161">
        <v>367.90934883658241</v>
      </c>
    </row>
    <row r="162" spans="1:12" x14ac:dyDescent="0.25">
      <c r="A162">
        <v>265.73224858008223</v>
      </c>
      <c r="B162">
        <v>263.73419273670964</v>
      </c>
      <c r="C162">
        <v>241.66416725122016</v>
      </c>
      <c r="D162">
        <v>260.98109731435278</v>
      </c>
      <c r="E162">
        <v>289.02627601095298</v>
      </c>
      <c r="F162">
        <v>259.84569651776491</v>
      </c>
      <c r="G162">
        <v>264.64387136522714</v>
      </c>
      <c r="H162">
        <v>285.92560806055394</v>
      </c>
      <c r="I162">
        <v>308.51942699880959</v>
      </c>
      <c r="J162">
        <v>315.14002443020576</v>
      </c>
      <c r="K162">
        <v>343.18296344993672</v>
      </c>
      <c r="L162">
        <v>386.32035709685448</v>
      </c>
    </row>
    <row r="163" spans="1:12" x14ac:dyDescent="0.25">
      <c r="A163">
        <v>242.03034420009425</v>
      </c>
      <c r="B163">
        <v>263.99201394180056</v>
      </c>
      <c r="C163">
        <v>234.11319470267736</v>
      </c>
      <c r="D163">
        <v>232.16469991097233</v>
      </c>
      <c r="E163">
        <v>254.09455213162369</v>
      </c>
      <c r="F163">
        <v>228.31687358121954</v>
      </c>
      <c r="G163">
        <v>230.72982134637419</v>
      </c>
      <c r="H163">
        <v>252.54083392240983</v>
      </c>
      <c r="I163">
        <v>255.9968398475207</v>
      </c>
      <c r="J163">
        <v>256.00914234824478</v>
      </c>
      <c r="K163">
        <v>273.78901203985697</v>
      </c>
      <c r="L163">
        <v>331.12299204512902</v>
      </c>
    </row>
    <row r="164" spans="1:12" x14ac:dyDescent="0.25">
      <c r="A164">
        <v>223.67852415116573</v>
      </c>
      <c r="B164">
        <v>252.69290993081518</v>
      </c>
      <c r="C164">
        <v>236.4939244235068</v>
      </c>
      <c r="D164">
        <v>235.22781056058878</v>
      </c>
      <c r="E164">
        <v>240.78897966104432</v>
      </c>
      <c r="F164">
        <v>230.4062099118332</v>
      </c>
      <c r="G164">
        <v>227.13892439635433</v>
      </c>
      <c r="H164">
        <v>224.54821994856451</v>
      </c>
      <c r="I164">
        <v>225.29418744237552</v>
      </c>
      <c r="J164">
        <v>253.01615252512724</v>
      </c>
      <c r="K164">
        <v>242.80411295008679</v>
      </c>
      <c r="L164">
        <v>274.91053459552359</v>
      </c>
    </row>
    <row r="165" spans="1:12" x14ac:dyDescent="0.25">
      <c r="A165">
        <v>247.55960804470251</v>
      </c>
      <c r="B165">
        <v>249.97109781889054</v>
      </c>
      <c r="C165">
        <v>236.78844874544401</v>
      </c>
      <c r="D165">
        <v>235.08974922947286</v>
      </c>
      <c r="E165">
        <v>252.86272642014796</v>
      </c>
      <c r="F165">
        <v>238.48139172862778</v>
      </c>
      <c r="G165">
        <v>247.83665558469596</v>
      </c>
      <c r="H165">
        <v>237.20515860073627</v>
      </c>
      <c r="I165">
        <v>253.71849775112577</v>
      </c>
      <c r="J165">
        <v>278.20862219790308</v>
      </c>
      <c r="K165">
        <v>279.56060914806386</v>
      </c>
      <c r="L165">
        <v>311.12123138146751</v>
      </c>
    </row>
    <row r="166" spans="1:12" x14ac:dyDescent="0.25">
      <c r="A166">
        <v>254.27305741486092</v>
      </c>
      <c r="B166">
        <v>266.15769504648398</v>
      </c>
      <c r="C166">
        <v>216.86072639098128</v>
      </c>
      <c r="D166">
        <v>229.54230672330456</v>
      </c>
      <c r="E166">
        <v>269.50113853991161</v>
      </c>
      <c r="F166">
        <v>243.29072730234819</v>
      </c>
      <c r="G166">
        <v>262.10402281298605</v>
      </c>
      <c r="H166">
        <v>256.35193539890565</v>
      </c>
      <c r="I166">
        <v>287.0558929349308</v>
      </c>
      <c r="J166">
        <v>292.22072976525521</v>
      </c>
      <c r="K166">
        <v>322.47017574053467</v>
      </c>
      <c r="L166">
        <v>383.12796393440351</v>
      </c>
    </row>
    <row r="167" spans="1:12" x14ac:dyDescent="0.25">
      <c r="A167">
        <v>234.71794632505151</v>
      </c>
      <c r="B167">
        <v>270.52150302507613</v>
      </c>
      <c r="C167">
        <v>240.41892447273645</v>
      </c>
      <c r="D167">
        <v>237.36690311220937</v>
      </c>
      <c r="E167">
        <v>285.84390599828725</v>
      </c>
      <c r="F167">
        <v>251.51397773175816</v>
      </c>
      <c r="G167">
        <v>263.93450401494783</v>
      </c>
      <c r="H167">
        <v>246.7014660024717</v>
      </c>
      <c r="I167">
        <v>278.90154515413496</v>
      </c>
      <c r="J167">
        <v>305.65354314287617</v>
      </c>
      <c r="K167">
        <v>322.44519986481578</v>
      </c>
      <c r="L167">
        <v>370.18662606882617</v>
      </c>
    </row>
    <row r="168" spans="1:12" x14ac:dyDescent="0.25">
      <c r="A168">
        <v>265.22038267631712</v>
      </c>
      <c r="B168">
        <v>263.69989874409714</v>
      </c>
      <c r="C168">
        <v>250.05086604901186</v>
      </c>
      <c r="D168">
        <v>244.29873912855808</v>
      </c>
      <c r="E168">
        <v>297.21633832625565</v>
      </c>
      <c r="F168">
        <v>245.87022340720759</v>
      </c>
      <c r="G168">
        <v>250.9171870500727</v>
      </c>
      <c r="H168">
        <v>266.12450778523976</v>
      </c>
      <c r="I168">
        <v>285.24991675549381</v>
      </c>
      <c r="J168">
        <v>285.84395139457627</v>
      </c>
      <c r="K168">
        <v>314.79871646292696</v>
      </c>
      <c r="L168">
        <v>353.85171507971376</v>
      </c>
    </row>
    <row r="169" spans="1:12" x14ac:dyDescent="0.25">
      <c r="A169">
        <v>261.34756495293323</v>
      </c>
      <c r="B169">
        <v>290.90076151250048</v>
      </c>
      <c r="C169">
        <v>257.50593025068184</v>
      </c>
      <c r="D169">
        <v>261.25041496111891</v>
      </c>
      <c r="E169">
        <v>305.8480405504522</v>
      </c>
      <c r="F169">
        <v>271.88277052072823</v>
      </c>
      <c r="G169">
        <v>292.16392480710664</v>
      </c>
      <c r="H169">
        <v>288.3110246243138</v>
      </c>
      <c r="I169">
        <v>313.16300923781819</v>
      </c>
      <c r="J169">
        <v>336.91277302546689</v>
      </c>
      <c r="K169">
        <v>350.40127759132736</v>
      </c>
      <c r="L169">
        <v>415.20252170380058</v>
      </c>
    </row>
    <row r="170" spans="1:12" x14ac:dyDescent="0.25">
      <c r="A170">
        <v>245.05810162499387</v>
      </c>
      <c r="B170">
        <v>256.22308123031297</v>
      </c>
      <c r="C170">
        <v>218.43175276778513</v>
      </c>
      <c r="D170">
        <v>234.82931517540422</v>
      </c>
      <c r="E170">
        <v>283.15690952610299</v>
      </c>
      <c r="F170">
        <v>231.00008208106794</v>
      </c>
      <c r="G170">
        <v>258.80269541440094</v>
      </c>
      <c r="H170">
        <v>259.51103935307691</v>
      </c>
      <c r="I170">
        <v>272.59909676302459</v>
      </c>
      <c r="J170">
        <v>295.7408431528392</v>
      </c>
      <c r="K170">
        <v>309.41556540531764</v>
      </c>
      <c r="L170">
        <v>345.10143543049486</v>
      </c>
    </row>
    <row r="171" spans="1:12" x14ac:dyDescent="0.25">
      <c r="A171">
        <v>262.94973540525496</v>
      </c>
      <c r="B171">
        <v>265.87047765769603</v>
      </c>
      <c r="C171">
        <v>242.12896762466718</v>
      </c>
      <c r="D171">
        <v>244.98550314348122</v>
      </c>
      <c r="E171">
        <v>290.11897658844867</v>
      </c>
      <c r="F171">
        <v>266.98785334083351</v>
      </c>
      <c r="G171">
        <v>280.7312336792063</v>
      </c>
      <c r="H171">
        <v>274.0453134120873</v>
      </c>
      <c r="I171">
        <v>308.19286443246324</v>
      </c>
      <c r="J171">
        <v>344.11103001969536</v>
      </c>
      <c r="K171">
        <v>354.20673059993425</v>
      </c>
      <c r="L171">
        <v>392.49671667468908</v>
      </c>
    </row>
    <row r="172" spans="1:12" x14ac:dyDescent="0.25">
      <c r="A172">
        <v>235.82326293195851</v>
      </c>
      <c r="B172">
        <v>274.0016539199392</v>
      </c>
      <c r="C172">
        <v>251.13954637465778</v>
      </c>
      <c r="D172">
        <v>250.09555767585971</v>
      </c>
      <c r="E172">
        <v>292.14955300966074</v>
      </c>
      <c r="F172">
        <v>249.19284274330957</v>
      </c>
      <c r="G172">
        <v>251.74132150215567</v>
      </c>
      <c r="H172">
        <v>292.30640305729224</v>
      </c>
      <c r="I172">
        <v>291.35523267635932</v>
      </c>
      <c r="J172">
        <v>323.37669105010605</v>
      </c>
      <c r="K172">
        <v>337.61543310506488</v>
      </c>
      <c r="L172">
        <v>380.36459164660795</v>
      </c>
    </row>
    <row r="173" spans="1:12" x14ac:dyDescent="0.25">
      <c r="A173">
        <v>240.51544178772266</v>
      </c>
      <c r="B173">
        <v>264.41784392046782</v>
      </c>
      <c r="C173">
        <v>245.70150806395915</v>
      </c>
      <c r="D173">
        <v>253.22905652726985</v>
      </c>
      <c r="E173">
        <v>278.49362808428907</v>
      </c>
      <c r="F173">
        <v>265.27667196723593</v>
      </c>
      <c r="G173">
        <v>265.36874577186387</v>
      </c>
      <c r="H173">
        <v>248.69896030895472</v>
      </c>
      <c r="I173">
        <v>298.03029787922441</v>
      </c>
      <c r="J173">
        <v>303.57825882167714</v>
      </c>
      <c r="K173">
        <v>304.14524722586816</v>
      </c>
      <c r="L173">
        <v>359.78858604048219</v>
      </c>
    </row>
    <row r="174" spans="1:12" x14ac:dyDescent="0.25">
      <c r="A174">
        <v>234.51789496325816</v>
      </c>
      <c r="B174">
        <v>253.23852590762496</v>
      </c>
      <c r="C174">
        <v>235.58880500720522</v>
      </c>
      <c r="D174">
        <v>228.47838602894336</v>
      </c>
      <c r="E174">
        <v>278.52724225031318</v>
      </c>
      <c r="F174">
        <v>226.4856920641374</v>
      </c>
      <c r="G174">
        <v>240.53534100746566</v>
      </c>
      <c r="H174">
        <v>256.85330014660889</v>
      </c>
      <c r="I174">
        <v>256.76273993452827</v>
      </c>
      <c r="J174">
        <v>279.78118398803008</v>
      </c>
      <c r="K174">
        <v>279.0587415293524</v>
      </c>
      <c r="L174">
        <v>332.02401986067844</v>
      </c>
    </row>
    <row r="175" spans="1:12" x14ac:dyDescent="0.25">
      <c r="A175">
        <v>274.90261277192747</v>
      </c>
      <c r="B175">
        <v>273.45825826854167</v>
      </c>
      <c r="C175">
        <v>261.55702465562831</v>
      </c>
      <c r="D175">
        <v>264.74165638094718</v>
      </c>
      <c r="E175">
        <v>308.63670792394231</v>
      </c>
      <c r="F175">
        <v>284.62524043916375</v>
      </c>
      <c r="G175">
        <v>301.06215623859913</v>
      </c>
      <c r="H175">
        <v>306.33439187945743</v>
      </c>
      <c r="I175">
        <v>347.48854482949451</v>
      </c>
      <c r="J175">
        <v>352.87784703836161</v>
      </c>
      <c r="K175">
        <v>391.13766982316366</v>
      </c>
      <c r="L175">
        <v>447.02973663379265</v>
      </c>
    </row>
    <row r="176" spans="1:12" x14ac:dyDescent="0.25">
      <c r="A176">
        <v>241.0483723837971</v>
      </c>
      <c r="B176">
        <v>265.53893962099329</v>
      </c>
      <c r="C176">
        <v>246.10372865679091</v>
      </c>
      <c r="D176">
        <v>225.90979741345424</v>
      </c>
      <c r="E176">
        <v>274.56062430602907</v>
      </c>
      <c r="F176">
        <v>231.41376794333468</v>
      </c>
      <c r="G176">
        <v>261.76055201695135</v>
      </c>
      <c r="H176">
        <v>245.66808186450228</v>
      </c>
      <c r="I176">
        <v>277.08504152243813</v>
      </c>
      <c r="J176">
        <v>292.96972631996857</v>
      </c>
      <c r="K176">
        <v>316.32408253764396</v>
      </c>
      <c r="L176">
        <v>359.78764021916083</v>
      </c>
    </row>
    <row r="177" spans="1:12" x14ac:dyDescent="0.25">
      <c r="A177">
        <v>243.06099016141542</v>
      </c>
      <c r="B177">
        <v>261.58932417074129</v>
      </c>
      <c r="C177">
        <v>230.74353260390609</v>
      </c>
      <c r="D177">
        <v>242.51595022335411</v>
      </c>
      <c r="E177">
        <v>277.18668630194645</v>
      </c>
      <c r="F177">
        <v>241.38504716215905</v>
      </c>
      <c r="G177">
        <v>250.29804937937735</v>
      </c>
      <c r="H177">
        <v>264.63669687052823</v>
      </c>
      <c r="I177">
        <v>282.10820046625372</v>
      </c>
      <c r="J177">
        <v>297.7066543468693</v>
      </c>
      <c r="K177">
        <v>324.30319755907976</v>
      </c>
      <c r="L177">
        <v>363.45104847157518</v>
      </c>
    </row>
    <row r="178" spans="1:12" x14ac:dyDescent="0.25">
      <c r="A178">
        <v>236.31999110426926</v>
      </c>
      <c r="B178">
        <v>245.70330219323344</v>
      </c>
      <c r="C178">
        <v>220.04435114231097</v>
      </c>
      <c r="D178">
        <v>217.87658472322957</v>
      </c>
      <c r="E178">
        <v>260.42994164283562</v>
      </c>
      <c r="F178">
        <v>227.50558715910634</v>
      </c>
      <c r="G178">
        <v>240.44698791582397</v>
      </c>
      <c r="H178">
        <v>232.58365675046798</v>
      </c>
      <c r="I178">
        <v>262.67663644138628</v>
      </c>
      <c r="J178">
        <v>278.57199838998014</v>
      </c>
      <c r="K178">
        <v>271.69479563140084</v>
      </c>
      <c r="L178">
        <v>332.56703933195655</v>
      </c>
    </row>
    <row r="179" spans="1:12" x14ac:dyDescent="0.25">
      <c r="A179">
        <v>240.28705613417111</v>
      </c>
      <c r="B179">
        <v>259.17597750587623</v>
      </c>
      <c r="C179">
        <v>247.58624807320874</v>
      </c>
      <c r="D179">
        <v>266.83904609488332</v>
      </c>
      <c r="E179">
        <v>279.26135215118671</v>
      </c>
      <c r="F179">
        <v>263.28707003961489</v>
      </c>
      <c r="G179">
        <v>273.58121016263698</v>
      </c>
      <c r="H179">
        <v>288.14909637948483</v>
      </c>
      <c r="I179">
        <v>306.17654821650592</v>
      </c>
      <c r="J179">
        <v>317.68707892324989</v>
      </c>
      <c r="K179">
        <v>333.998875210091</v>
      </c>
      <c r="L179">
        <v>398.52475426313362</v>
      </c>
    </row>
    <row r="180" spans="1:12" x14ac:dyDescent="0.25">
      <c r="A180">
        <v>240.96772538568365</v>
      </c>
      <c r="B180">
        <v>263.49423775327369</v>
      </c>
      <c r="C180">
        <v>236.01317166242399</v>
      </c>
      <c r="D180">
        <v>229.19272108059386</v>
      </c>
      <c r="E180">
        <v>278.13732414625366</v>
      </c>
      <c r="F180">
        <v>239.7608682053868</v>
      </c>
      <c r="G180">
        <v>233.8146094982591</v>
      </c>
      <c r="H180">
        <v>276.89787720088748</v>
      </c>
      <c r="I180">
        <v>274.66126479152649</v>
      </c>
      <c r="J180">
        <v>310.92656024334781</v>
      </c>
      <c r="K180">
        <v>305.72474553404032</v>
      </c>
      <c r="L180">
        <v>372.24008117055445</v>
      </c>
    </row>
    <row r="181" spans="1:12" x14ac:dyDescent="0.25">
      <c r="A181">
        <v>247.35037067423261</v>
      </c>
      <c r="B181">
        <v>279.29825743972708</v>
      </c>
      <c r="C181">
        <v>242.78026719447757</v>
      </c>
      <c r="D181">
        <v>240.04069702334471</v>
      </c>
      <c r="E181">
        <v>293.93292653562622</v>
      </c>
      <c r="F181">
        <v>275.33069480044418</v>
      </c>
      <c r="G181">
        <v>274.72588574756935</v>
      </c>
      <c r="H181">
        <v>278.69432915789849</v>
      </c>
      <c r="I181">
        <v>317.24223141837666</v>
      </c>
      <c r="J181">
        <v>326.32156521194162</v>
      </c>
      <c r="K181">
        <v>341.91076875246983</v>
      </c>
      <c r="L181">
        <v>420.53494833494779</v>
      </c>
    </row>
    <row r="182" spans="1:12" x14ac:dyDescent="0.25">
      <c r="A182">
        <v>240.67253013333232</v>
      </c>
      <c r="B182">
        <v>252.42166926229064</v>
      </c>
      <c r="C182">
        <v>243.17720405684506</v>
      </c>
      <c r="D182">
        <v>258.0320232418768</v>
      </c>
      <c r="E182">
        <v>283.29619213172379</v>
      </c>
      <c r="F182">
        <v>255.95011968149259</v>
      </c>
      <c r="G182">
        <v>261.10393077137974</v>
      </c>
      <c r="H182">
        <v>276.86849640959554</v>
      </c>
      <c r="I182">
        <v>287.53129827576254</v>
      </c>
      <c r="J182">
        <v>304.44990035349247</v>
      </c>
      <c r="K182">
        <v>319.87472288429433</v>
      </c>
      <c r="L182">
        <v>371.2780247991758</v>
      </c>
    </row>
    <row r="183" spans="1:12" x14ac:dyDescent="0.25">
      <c r="A183">
        <v>234.57559174174986</v>
      </c>
      <c r="B183">
        <v>289.20055493576609</v>
      </c>
      <c r="C183">
        <v>244.78378124362709</v>
      </c>
      <c r="D183">
        <v>260.42766277506888</v>
      </c>
      <c r="E183">
        <v>313.64003351884782</v>
      </c>
      <c r="F183">
        <v>260.34616920770645</v>
      </c>
      <c r="G183">
        <v>269.37051335572488</v>
      </c>
      <c r="H183">
        <v>286.53296926236135</v>
      </c>
      <c r="I183">
        <v>319.0396847883535</v>
      </c>
      <c r="J183">
        <v>330.95828660574654</v>
      </c>
      <c r="K183">
        <v>344.02860365562736</v>
      </c>
      <c r="L183">
        <v>414.11921910169474</v>
      </c>
    </row>
    <row r="184" spans="1:12" x14ac:dyDescent="0.25">
      <c r="A184">
        <v>239.94716560269723</v>
      </c>
      <c r="B184">
        <v>261.5122353683978</v>
      </c>
      <c r="C184">
        <v>236.40029079269576</v>
      </c>
      <c r="D184">
        <v>242.76155953862747</v>
      </c>
      <c r="E184">
        <v>281.37129910523157</v>
      </c>
      <c r="F184">
        <v>229.96558039683438</v>
      </c>
      <c r="G184">
        <v>261.88616297232142</v>
      </c>
      <c r="H184">
        <v>267.43394639262226</v>
      </c>
      <c r="I184">
        <v>273.01176081285502</v>
      </c>
      <c r="J184">
        <v>297.14989465231025</v>
      </c>
      <c r="K184">
        <v>307.39520843682533</v>
      </c>
      <c r="L184">
        <v>348.51734698529191</v>
      </c>
    </row>
    <row r="185" spans="1:12" x14ac:dyDescent="0.25">
      <c r="A185">
        <v>244.50481442738533</v>
      </c>
      <c r="B185">
        <v>258.98393827286043</v>
      </c>
      <c r="C185">
        <v>251.33868307566058</v>
      </c>
      <c r="D185">
        <v>246.46798053230665</v>
      </c>
      <c r="E185">
        <v>294.8500931989704</v>
      </c>
      <c r="F185">
        <v>242.97859553017366</v>
      </c>
      <c r="G185">
        <v>268.45445498054829</v>
      </c>
      <c r="H185">
        <v>283.12278639812786</v>
      </c>
      <c r="I185">
        <v>309.39173552100709</v>
      </c>
      <c r="J185">
        <v>316.03602422873189</v>
      </c>
      <c r="K185">
        <v>314.42191015014663</v>
      </c>
      <c r="L185">
        <v>396.49165100106012</v>
      </c>
    </row>
    <row r="186" spans="1:12" x14ac:dyDescent="0.25">
      <c r="A186">
        <v>257.3935250552031</v>
      </c>
      <c r="B186">
        <v>269.70949705809829</v>
      </c>
      <c r="C186">
        <v>253.72812304707941</v>
      </c>
      <c r="D186">
        <v>245.48321796056894</v>
      </c>
      <c r="E186">
        <v>283.61755940599335</v>
      </c>
      <c r="F186">
        <v>258.69564795112541</v>
      </c>
      <c r="G186">
        <v>275.9292624861742</v>
      </c>
      <c r="H186">
        <v>290.81055357227092</v>
      </c>
      <c r="I186">
        <v>317.10116566315003</v>
      </c>
      <c r="J186">
        <v>330.21365829489775</v>
      </c>
      <c r="K186">
        <v>344.79638410233275</v>
      </c>
      <c r="L186">
        <v>397.20793680427681</v>
      </c>
    </row>
    <row r="187" spans="1:12" x14ac:dyDescent="0.25">
      <c r="A187">
        <v>236.79395891682148</v>
      </c>
      <c r="B187">
        <v>252.94096225337574</v>
      </c>
      <c r="C187">
        <v>246.78055115966893</v>
      </c>
      <c r="D187">
        <v>217.89087452796477</v>
      </c>
      <c r="E187">
        <v>268.22796703287219</v>
      </c>
      <c r="F187">
        <v>234.86459308680702</v>
      </c>
      <c r="G187">
        <v>252.3201711519273</v>
      </c>
      <c r="H187">
        <v>249.25634332527434</v>
      </c>
      <c r="I187">
        <v>253.52635400279038</v>
      </c>
      <c r="J187">
        <v>265.50264265299978</v>
      </c>
      <c r="K187">
        <v>275.25804884275448</v>
      </c>
      <c r="L187">
        <v>325.51646315269545</v>
      </c>
    </row>
    <row r="188" spans="1:12" x14ac:dyDescent="0.25">
      <c r="A188">
        <v>245.73137810530528</v>
      </c>
      <c r="B188">
        <v>268.82713028396881</v>
      </c>
      <c r="C188">
        <v>236.46002689923839</v>
      </c>
      <c r="D188">
        <v>241.46421465148737</v>
      </c>
      <c r="E188">
        <v>279.44463185072959</v>
      </c>
      <c r="F188">
        <v>254.79378046021478</v>
      </c>
      <c r="G188">
        <v>253.40741876010634</v>
      </c>
      <c r="H188">
        <v>272.67029342867266</v>
      </c>
      <c r="I188">
        <v>280.71021073282918</v>
      </c>
      <c r="J188">
        <v>306.35387156996126</v>
      </c>
      <c r="K188">
        <v>321.64562761932069</v>
      </c>
      <c r="L188">
        <v>358.78930127720082</v>
      </c>
    </row>
    <row r="189" spans="1:12" x14ac:dyDescent="0.25">
      <c r="A189">
        <v>242.47251030721603</v>
      </c>
      <c r="B189">
        <v>265.35272921692075</v>
      </c>
      <c r="C189">
        <v>238.5472870267229</v>
      </c>
      <c r="D189">
        <v>252.96377705501442</v>
      </c>
      <c r="E189">
        <v>280.06149537597105</v>
      </c>
      <c r="F189">
        <v>243.73004380493396</v>
      </c>
      <c r="G189">
        <v>262.50951574540426</v>
      </c>
      <c r="H189">
        <v>261.07964555015457</v>
      </c>
      <c r="I189">
        <v>304.19591256524006</v>
      </c>
      <c r="J189">
        <v>297.41001948368609</v>
      </c>
      <c r="K189">
        <v>326.11131636507304</v>
      </c>
      <c r="L189">
        <v>396.07439129440604</v>
      </c>
    </row>
    <row r="190" spans="1:12" x14ac:dyDescent="0.25">
      <c r="A190">
        <v>255.86019707028896</v>
      </c>
      <c r="B190">
        <v>285.55382770742244</v>
      </c>
      <c r="C190">
        <v>270.49645041593283</v>
      </c>
      <c r="D190">
        <v>253.51911855072569</v>
      </c>
      <c r="E190">
        <v>296.25392920729809</v>
      </c>
      <c r="F190">
        <v>258.33060434113816</v>
      </c>
      <c r="G190">
        <v>269.2245798513519</v>
      </c>
      <c r="H190">
        <v>290.08650385064414</v>
      </c>
      <c r="I190">
        <v>291.11593866114202</v>
      </c>
      <c r="J190">
        <v>323.22911571868764</v>
      </c>
      <c r="K190">
        <v>337.32456778907124</v>
      </c>
      <c r="L190">
        <v>381.47047472987174</v>
      </c>
    </row>
    <row r="191" spans="1:12" x14ac:dyDescent="0.25">
      <c r="A191">
        <v>239.74828771559027</v>
      </c>
      <c r="B191">
        <v>268.88440697563647</v>
      </c>
      <c r="C191">
        <v>242.91262059734055</v>
      </c>
      <c r="D191">
        <v>230.8712773128025</v>
      </c>
      <c r="E191">
        <v>284.78684534834565</v>
      </c>
      <c r="F191">
        <v>264.04132082284661</v>
      </c>
      <c r="G191">
        <v>254.96388592567084</v>
      </c>
      <c r="H191">
        <v>269.42797150519772</v>
      </c>
      <c r="I191">
        <v>309.43669024313124</v>
      </c>
      <c r="J191">
        <v>311.8658812282269</v>
      </c>
      <c r="K191">
        <v>319.41258736663843</v>
      </c>
      <c r="L191">
        <v>385.12983775618909</v>
      </c>
    </row>
    <row r="192" spans="1:12" x14ac:dyDescent="0.25">
      <c r="A192">
        <v>237.51983549538821</v>
      </c>
      <c r="B192">
        <v>273.0296365413904</v>
      </c>
      <c r="C192">
        <v>247.86522574830258</v>
      </c>
      <c r="D192">
        <v>247.2111808502211</v>
      </c>
      <c r="E192">
        <v>292.94552145514393</v>
      </c>
      <c r="F192">
        <v>237.73207308132001</v>
      </c>
      <c r="G192">
        <v>256.2474552321346</v>
      </c>
      <c r="H192">
        <v>261.04937937115983</v>
      </c>
      <c r="I192">
        <v>285.96662676198264</v>
      </c>
      <c r="J192">
        <v>295.94677760936423</v>
      </c>
      <c r="K192">
        <v>306.94230806702069</v>
      </c>
      <c r="L192">
        <v>357.04015916893087</v>
      </c>
    </row>
    <row r="193" spans="1:12" x14ac:dyDescent="0.25">
      <c r="A193">
        <v>261.79143993110665</v>
      </c>
      <c r="B193">
        <v>271.3121386393363</v>
      </c>
      <c r="C193">
        <v>237.01720137890351</v>
      </c>
      <c r="D193">
        <v>245.1964887894315</v>
      </c>
      <c r="E193">
        <v>284.87464467084374</v>
      </c>
      <c r="F193">
        <v>246.63183977520416</v>
      </c>
      <c r="G193">
        <v>265.81097564216748</v>
      </c>
      <c r="H193">
        <v>263.8679928667101</v>
      </c>
      <c r="I193">
        <v>298.92835777326621</v>
      </c>
      <c r="J193">
        <v>317.92394072638638</v>
      </c>
      <c r="K193">
        <v>328.71739543019669</v>
      </c>
      <c r="L193">
        <v>383.00332535489025</v>
      </c>
    </row>
    <row r="194" spans="1:12" x14ac:dyDescent="0.25">
      <c r="A194">
        <v>238.95554494009929</v>
      </c>
      <c r="B194">
        <v>267.1881101364487</v>
      </c>
      <c r="C194">
        <v>244.60311844471983</v>
      </c>
      <c r="D194">
        <v>235.34971429281654</v>
      </c>
      <c r="E194">
        <v>276.34746702527457</v>
      </c>
      <c r="F194">
        <v>237.90178338325836</v>
      </c>
      <c r="G194">
        <v>259.33983381059005</v>
      </c>
      <c r="H194">
        <v>259.99059912281137</v>
      </c>
      <c r="I194">
        <v>287.14858046450507</v>
      </c>
      <c r="J194">
        <v>292.04167728571599</v>
      </c>
      <c r="K194">
        <v>319.81072927926533</v>
      </c>
      <c r="L194">
        <v>367.49624405047916</v>
      </c>
    </row>
    <row r="195" spans="1:12" x14ac:dyDescent="0.25">
      <c r="A195">
        <v>248.46709628826736</v>
      </c>
      <c r="B195">
        <v>248.7137728565643</v>
      </c>
      <c r="C195">
        <v>220.05979262718296</v>
      </c>
      <c r="D195">
        <v>218.75155407093706</v>
      </c>
      <c r="E195">
        <v>260.79762277563788</v>
      </c>
      <c r="F195">
        <v>226.46315553381879</v>
      </c>
      <c r="G195">
        <v>234.13181138282562</v>
      </c>
      <c r="H195">
        <v>227.36846581493046</v>
      </c>
      <c r="I195">
        <v>237.14520836305272</v>
      </c>
      <c r="J195">
        <v>260.87226880865325</v>
      </c>
      <c r="K195">
        <v>241.69678927128422</v>
      </c>
      <c r="L195">
        <v>305.93727826284703</v>
      </c>
    </row>
    <row r="196" spans="1:12" x14ac:dyDescent="0.25">
      <c r="A196">
        <v>231.14837514382879</v>
      </c>
      <c r="B196">
        <v>245.21425170769305</v>
      </c>
      <c r="C196">
        <v>232.96162346097043</v>
      </c>
      <c r="D196">
        <v>238.64158324468369</v>
      </c>
      <c r="E196">
        <v>269.9541485397516</v>
      </c>
      <c r="F196">
        <v>234.9923748561329</v>
      </c>
      <c r="G196">
        <v>239.4762381780487</v>
      </c>
      <c r="H196">
        <v>224.59440951030081</v>
      </c>
      <c r="I196">
        <v>266.16138126424562</v>
      </c>
      <c r="J196">
        <v>267.60636020571837</v>
      </c>
      <c r="K196">
        <v>265.61003647316136</v>
      </c>
      <c r="L196">
        <v>324.20156818341519</v>
      </c>
    </row>
    <row r="197" spans="1:12" x14ac:dyDescent="0.25">
      <c r="A197">
        <v>251.69725028583406</v>
      </c>
      <c r="B197">
        <v>276.15439680898777</v>
      </c>
      <c r="C197">
        <v>248.55284128730241</v>
      </c>
      <c r="D197">
        <v>246.93376964306682</v>
      </c>
      <c r="E197">
        <v>303.08898974120393</v>
      </c>
      <c r="F197">
        <v>267.04643690060243</v>
      </c>
      <c r="G197">
        <v>274.04794548797884</v>
      </c>
      <c r="H197">
        <v>274.30419841098364</v>
      </c>
      <c r="I197">
        <v>306.4802848781955</v>
      </c>
      <c r="J197">
        <v>319.87198662800915</v>
      </c>
      <c r="K197">
        <v>320.08037150743621</v>
      </c>
      <c r="L197">
        <v>394.46790017737686</v>
      </c>
    </row>
    <row r="198" spans="1:12" x14ac:dyDescent="0.25">
      <c r="A198">
        <v>237.22059487783164</v>
      </c>
      <c r="B198">
        <v>263.88774172053678</v>
      </c>
      <c r="C198">
        <v>235.12339201220675</v>
      </c>
      <c r="D198">
        <v>239.23205808054533</v>
      </c>
      <c r="E198">
        <v>294.41014502420649</v>
      </c>
      <c r="F198">
        <v>234.70565356326404</v>
      </c>
      <c r="G198">
        <v>255.97232769336492</v>
      </c>
      <c r="H198">
        <v>253.73610424784971</v>
      </c>
      <c r="I198">
        <v>278.46422225492222</v>
      </c>
      <c r="J198">
        <v>280.97859270722608</v>
      </c>
      <c r="K198">
        <v>315.34797763946455</v>
      </c>
      <c r="L198">
        <v>366.26273839401313</v>
      </c>
    </row>
    <row r="199" spans="1:12" x14ac:dyDescent="0.25">
      <c r="A199">
        <v>234.68901219769623</v>
      </c>
      <c r="B199">
        <v>258.54110471024063</v>
      </c>
      <c r="C199">
        <v>233.31865618475859</v>
      </c>
      <c r="D199">
        <v>235.38576640228177</v>
      </c>
      <c r="E199">
        <v>274.62144723624954</v>
      </c>
      <c r="F199">
        <v>228.27442060081205</v>
      </c>
      <c r="G199">
        <v>236.67570127383823</v>
      </c>
      <c r="H199">
        <v>266.53260671193948</v>
      </c>
      <c r="I199">
        <v>252.37564331507147</v>
      </c>
      <c r="J199">
        <v>263.02274778781776</v>
      </c>
      <c r="K199">
        <v>286.28235088655896</v>
      </c>
      <c r="L199">
        <v>326.28790338041432</v>
      </c>
    </row>
    <row r="200" spans="1:12" x14ac:dyDescent="0.25">
      <c r="A200">
        <v>233.09712682446479</v>
      </c>
      <c r="B200">
        <v>243.14945557775039</v>
      </c>
      <c r="C200">
        <v>212.4389595405583</v>
      </c>
      <c r="D200">
        <v>230.64544943133279</v>
      </c>
      <c r="E200">
        <v>258.48544876981043</v>
      </c>
      <c r="F200">
        <v>229.08912225537043</v>
      </c>
      <c r="G200">
        <v>246.97816789585539</v>
      </c>
      <c r="H200">
        <v>253.56173483370918</v>
      </c>
      <c r="I200">
        <v>261.28448307869269</v>
      </c>
      <c r="J200">
        <v>293.96452002673328</v>
      </c>
      <c r="K200">
        <v>294.90174448634355</v>
      </c>
      <c r="L200">
        <v>345.97865603406007</v>
      </c>
    </row>
    <row r="201" spans="1:12" x14ac:dyDescent="0.25">
      <c r="A201">
        <v>233.79261489545823</v>
      </c>
      <c r="B201">
        <v>255.80265320422953</v>
      </c>
      <c r="C201">
        <v>230.47509114603599</v>
      </c>
      <c r="D201">
        <v>242.86856313858311</v>
      </c>
      <c r="E201">
        <v>279.15492392535839</v>
      </c>
      <c r="F201">
        <v>260.18209741237467</v>
      </c>
      <c r="G201">
        <v>242.94686999990321</v>
      </c>
      <c r="H201">
        <v>257.2473052999751</v>
      </c>
      <c r="I201">
        <v>270.13716036020628</v>
      </c>
      <c r="J201">
        <v>273.82760482427778</v>
      </c>
      <c r="K201">
        <v>305.73213859471815</v>
      </c>
      <c r="L201">
        <v>354.92125502529427</v>
      </c>
    </row>
    <row r="202" spans="1:12" x14ac:dyDescent="0.25">
      <c r="A202">
        <v>237.97171180470409</v>
      </c>
      <c r="B202">
        <v>255.0198176576543</v>
      </c>
      <c r="C202">
        <v>256.34468382386382</v>
      </c>
      <c r="D202">
        <v>249.61485422959794</v>
      </c>
      <c r="E202">
        <v>277.22022856221167</v>
      </c>
      <c r="F202">
        <v>275.91025173655532</v>
      </c>
      <c r="G202">
        <v>256.48478474119418</v>
      </c>
      <c r="H202">
        <v>267.77415399586442</v>
      </c>
      <c r="I202">
        <v>318.3653401801925</v>
      </c>
      <c r="J202">
        <v>330.05892560499927</v>
      </c>
      <c r="K202">
        <v>344.91595652441725</v>
      </c>
      <c r="L202">
        <v>409.01180264148752</v>
      </c>
    </row>
    <row r="203" spans="1:12" x14ac:dyDescent="0.25">
      <c r="A203">
        <v>249.03680199910875</v>
      </c>
      <c r="B203">
        <v>271.73881015547119</v>
      </c>
      <c r="C203">
        <v>246.64463927003922</v>
      </c>
      <c r="D203">
        <v>259.5367346080962</v>
      </c>
      <c r="E203">
        <v>309.56120467032912</v>
      </c>
      <c r="F203">
        <v>267.99034766064489</v>
      </c>
      <c r="G203">
        <v>293.07764984568712</v>
      </c>
      <c r="H203">
        <v>304.58402976672653</v>
      </c>
      <c r="I203">
        <v>334.81502753173515</v>
      </c>
      <c r="J203">
        <v>362.39455484956272</v>
      </c>
      <c r="K203">
        <v>380.33898118336214</v>
      </c>
      <c r="L203">
        <v>449.67668890940791</v>
      </c>
    </row>
    <row r="204" spans="1:12" x14ac:dyDescent="0.25">
      <c r="A204">
        <v>232.53279246955071</v>
      </c>
      <c r="B204">
        <v>238.33254525905207</v>
      </c>
      <c r="C204">
        <v>222.12088273252073</v>
      </c>
      <c r="D204">
        <v>229.36575639981547</v>
      </c>
      <c r="E204">
        <v>263.90536197022027</v>
      </c>
      <c r="F204">
        <v>234.46282873599262</v>
      </c>
      <c r="G204">
        <v>252.73631485137534</v>
      </c>
      <c r="H204">
        <v>262.61201541848629</v>
      </c>
      <c r="I204">
        <v>266.68455084078488</v>
      </c>
      <c r="J204">
        <v>287.5875151227487</v>
      </c>
      <c r="K204">
        <v>306.27541449244291</v>
      </c>
      <c r="L204">
        <v>357.7486302985339</v>
      </c>
    </row>
    <row r="205" spans="1:12" x14ac:dyDescent="0.25">
      <c r="A205">
        <v>239.74724072046806</v>
      </c>
      <c r="B205">
        <v>254.32201757125674</v>
      </c>
      <c r="C205">
        <v>239.26006044770264</v>
      </c>
      <c r="D205">
        <v>227.80583955835877</v>
      </c>
      <c r="E205">
        <v>265.67268575831162</v>
      </c>
      <c r="F205">
        <v>229.0351472126998</v>
      </c>
      <c r="G205">
        <v>244.62704310547014</v>
      </c>
      <c r="H205">
        <v>260.31544536447637</v>
      </c>
      <c r="I205">
        <v>279.09973480763591</v>
      </c>
      <c r="J205">
        <v>272.06257586846488</v>
      </c>
      <c r="K205">
        <v>298.99048667503058</v>
      </c>
      <c r="L205">
        <v>330.28019219848022</v>
      </c>
    </row>
    <row r="206" spans="1:12" x14ac:dyDescent="0.25">
      <c r="A206">
        <v>238.90865332615704</v>
      </c>
      <c r="B206">
        <v>265.50898216399503</v>
      </c>
      <c r="C206">
        <v>233.35511118469825</v>
      </c>
      <c r="D206">
        <v>236.50502523487449</v>
      </c>
      <c r="E206">
        <v>287.35637607427861</v>
      </c>
      <c r="F206">
        <v>233.85768321209224</v>
      </c>
      <c r="G206">
        <v>242.18796330245442</v>
      </c>
      <c r="H206">
        <v>255.04795742312047</v>
      </c>
      <c r="I206">
        <v>262.99287245295841</v>
      </c>
      <c r="J206">
        <v>302.4714514011817</v>
      </c>
      <c r="K206">
        <v>295.40221728208479</v>
      </c>
      <c r="L206">
        <v>339.35594486188768</v>
      </c>
    </row>
    <row r="207" spans="1:12" x14ac:dyDescent="0.25">
      <c r="A207">
        <v>247.90831141472253</v>
      </c>
      <c r="B207">
        <v>233.22568046565073</v>
      </c>
      <c r="C207">
        <v>232.38222092006944</v>
      </c>
      <c r="D207">
        <v>221.55000805137709</v>
      </c>
      <c r="E207">
        <v>278.40835062512684</v>
      </c>
      <c r="F207">
        <v>235.73034159865506</v>
      </c>
      <c r="G207">
        <v>246.35773027085995</v>
      </c>
      <c r="H207">
        <v>237.26478870506693</v>
      </c>
      <c r="I207">
        <v>277.71956107857051</v>
      </c>
      <c r="J207">
        <v>282.34098307959999</v>
      </c>
      <c r="K207">
        <v>284.91006461278062</v>
      </c>
      <c r="L207">
        <v>319.74162834970946</v>
      </c>
    </row>
    <row r="208" spans="1:12" x14ac:dyDescent="0.25">
      <c r="A208">
        <v>253.66070376194793</v>
      </c>
      <c r="B208">
        <v>264.6636963793253</v>
      </c>
      <c r="C208">
        <v>256.3409993765008</v>
      </c>
      <c r="D208">
        <v>225.50938574185065</v>
      </c>
      <c r="E208">
        <v>284.39187977750805</v>
      </c>
      <c r="F208">
        <v>250.55425965864575</v>
      </c>
      <c r="G208">
        <v>278.87884865160771</v>
      </c>
      <c r="H208">
        <v>259.76468976855108</v>
      </c>
      <c r="I208">
        <v>301.62471680601521</v>
      </c>
      <c r="J208">
        <v>315.55477616067105</v>
      </c>
      <c r="K208">
        <v>312.22988734709395</v>
      </c>
      <c r="L208">
        <v>364.24733811231096</v>
      </c>
    </row>
    <row r="209" spans="1:12" x14ac:dyDescent="0.25">
      <c r="A209">
        <v>231.17739449691555</v>
      </c>
      <c r="B209">
        <v>246.79546055817218</v>
      </c>
      <c r="C209">
        <v>243.78055935489769</v>
      </c>
      <c r="D209">
        <v>237.79025356882772</v>
      </c>
      <c r="E209">
        <v>265.42932634500266</v>
      </c>
      <c r="F209">
        <v>245.40731214746464</v>
      </c>
      <c r="G209">
        <v>235.17613058840362</v>
      </c>
      <c r="H209">
        <v>260.66842161631411</v>
      </c>
      <c r="I209">
        <v>278.51023006159164</v>
      </c>
      <c r="J209">
        <v>295.96295501256486</v>
      </c>
      <c r="K209">
        <v>296.02665561681954</v>
      </c>
      <c r="L209">
        <v>336.44907136883143</v>
      </c>
    </row>
    <row r="210" spans="1:12" x14ac:dyDescent="0.25">
      <c r="A210">
        <v>242.97397117742491</v>
      </c>
      <c r="B210">
        <v>253.25129364836974</v>
      </c>
      <c r="C210">
        <v>251.12901063028957</v>
      </c>
      <c r="D210">
        <v>248.39081035436979</v>
      </c>
      <c r="E210">
        <v>271.10129644193387</v>
      </c>
      <c r="F210">
        <v>256.97174954201404</v>
      </c>
      <c r="G210">
        <v>249.43914239615717</v>
      </c>
      <c r="H210">
        <v>249.09639506291222</v>
      </c>
      <c r="I210">
        <v>267.34667649683701</v>
      </c>
      <c r="J210">
        <v>264.62583579557077</v>
      </c>
      <c r="K210">
        <v>284.00380919119118</v>
      </c>
      <c r="L210">
        <v>342.13366099683151</v>
      </c>
    </row>
    <row r="211" spans="1:12" x14ac:dyDescent="0.25">
      <c r="A211">
        <v>234.5788976722842</v>
      </c>
      <c r="B211">
        <v>271.20379096563238</v>
      </c>
      <c r="C211">
        <v>238.39297068439686</v>
      </c>
      <c r="D211">
        <v>229.33875214466735</v>
      </c>
      <c r="E211">
        <v>267.9110542090113</v>
      </c>
      <c r="F211">
        <v>246.28761958841636</v>
      </c>
      <c r="G211">
        <v>240.36522508873381</v>
      </c>
      <c r="H211">
        <v>249.51141529270194</v>
      </c>
      <c r="I211">
        <v>266.95271679111653</v>
      </c>
      <c r="J211">
        <v>282.55048678939738</v>
      </c>
      <c r="K211">
        <v>311.05703085947306</v>
      </c>
      <c r="L211">
        <v>356.34326015606365</v>
      </c>
    </row>
    <row r="212" spans="1:12" x14ac:dyDescent="0.25">
      <c r="A212">
        <v>257.95311846727412</v>
      </c>
      <c r="B212">
        <v>251.79915282729374</v>
      </c>
      <c r="C212">
        <v>232.36553593531991</v>
      </c>
      <c r="D212">
        <v>229.69752633468406</v>
      </c>
      <c r="E212">
        <v>265.62935594542705</v>
      </c>
      <c r="F212">
        <v>217.53368850943025</v>
      </c>
      <c r="G212">
        <v>239.87530137849805</v>
      </c>
      <c r="H212">
        <v>247.70069781398934</v>
      </c>
      <c r="I212">
        <v>245.04263602862491</v>
      </c>
      <c r="J212">
        <v>280.07464193886403</v>
      </c>
      <c r="K212">
        <v>286.38365000613982</v>
      </c>
      <c r="L212">
        <v>332.27056212761346</v>
      </c>
    </row>
    <row r="213" spans="1:12" x14ac:dyDescent="0.25">
      <c r="A213">
        <v>236.22791900046332</v>
      </c>
      <c r="B213">
        <v>255.36634434509361</v>
      </c>
      <c r="C213">
        <v>249.83159476408323</v>
      </c>
      <c r="D213">
        <v>244.65808710693071</v>
      </c>
      <c r="E213">
        <v>271.27722519185562</v>
      </c>
      <c r="F213">
        <v>232.09180749558956</v>
      </c>
      <c r="G213">
        <v>243.32201072948408</v>
      </c>
      <c r="H213">
        <v>249.51110734960574</v>
      </c>
      <c r="I213">
        <v>261.38773093124843</v>
      </c>
      <c r="J213">
        <v>293.38556718328573</v>
      </c>
      <c r="K213">
        <v>316.07433435816569</v>
      </c>
      <c r="L213">
        <v>342.17355758458757</v>
      </c>
    </row>
    <row r="214" spans="1:12" x14ac:dyDescent="0.25">
      <c r="A214">
        <v>246.89895410358426</v>
      </c>
      <c r="B214">
        <v>263.05158862164865</v>
      </c>
      <c r="C214">
        <v>249.60212997414109</v>
      </c>
      <c r="D214">
        <v>223.93724675825672</v>
      </c>
      <c r="E214">
        <v>266.60572161839013</v>
      </c>
      <c r="F214">
        <v>232.00023658923254</v>
      </c>
      <c r="G214">
        <v>246.45247200979884</v>
      </c>
      <c r="H214">
        <v>255.11054768827185</v>
      </c>
      <c r="I214">
        <v>286.68905093938804</v>
      </c>
      <c r="J214">
        <v>291.69665360817459</v>
      </c>
      <c r="K214">
        <v>319.61871211947323</v>
      </c>
      <c r="L214">
        <v>350.33632482603156</v>
      </c>
    </row>
    <row r="215" spans="1:12" x14ac:dyDescent="0.25">
      <c r="A215">
        <v>247.67414451647062</v>
      </c>
      <c r="B215">
        <v>260.1398590038695</v>
      </c>
      <c r="C215">
        <v>239.15966930496464</v>
      </c>
      <c r="D215">
        <v>253.54088520969623</v>
      </c>
      <c r="E215">
        <v>279.1390564832393</v>
      </c>
      <c r="F215">
        <v>258.41717898121891</v>
      </c>
      <c r="G215">
        <v>260.09650923192646</v>
      </c>
      <c r="H215">
        <v>266.11820400647122</v>
      </c>
      <c r="I215">
        <v>268.06205452464343</v>
      </c>
      <c r="J215">
        <v>282.64726807481611</v>
      </c>
      <c r="K215">
        <v>299.4642076907848</v>
      </c>
      <c r="L215">
        <v>351.59942612802752</v>
      </c>
    </row>
    <row r="216" spans="1:12" x14ac:dyDescent="0.25">
      <c r="A216">
        <v>239.43056524855186</v>
      </c>
      <c r="B216">
        <v>280.19795414972054</v>
      </c>
      <c r="C216">
        <v>234.03723956331584</v>
      </c>
      <c r="D216">
        <v>224.41321469538406</v>
      </c>
      <c r="E216">
        <v>278.85641677588751</v>
      </c>
      <c r="F216">
        <v>242.2153014101722</v>
      </c>
      <c r="G216">
        <v>247.46549465960621</v>
      </c>
      <c r="H216">
        <v>266.69512851484728</v>
      </c>
      <c r="I216">
        <v>272.1029618119282</v>
      </c>
      <c r="J216">
        <v>274.21475648477627</v>
      </c>
      <c r="K216">
        <v>308.26344473031537</v>
      </c>
      <c r="L216">
        <v>358.119498324311</v>
      </c>
    </row>
    <row r="217" spans="1:12" x14ac:dyDescent="0.25">
      <c r="A217">
        <v>241.97097057773257</v>
      </c>
      <c r="B217">
        <v>273.11819211746479</v>
      </c>
      <c r="C217">
        <v>269.35790181382998</v>
      </c>
      <c r="D217">
        <v>259.50428602678471</v>
      </c>
      <c r="E217">
        <v>295.16126731015197</v>
      </c>
      <c r="F217">
        <v>251.99743947561652</v>
      </c>
      <c r="G217">
        <v>275.956947422285</v>
      </c>
      <c r="H217">
        <v>290.98314582537148</v>
      </c>
      <c r="I217">
        <v>305.2875577914329</v>
      </c>
      <c r="J217">
        <v>297.79463069670999</v>
      </c>
      <c r="K217">
        <v>323.07443249823245</v>
      </c>
      <c r="L217">
        <v>392.70186225977318</v>
      </c>
    </row>
    <row r="218" spans="1:12" x14ac:dyDescent="0.25">
      <c r="A218">
        <v>241.25683928153205</v>
      </c>
      <c r="B218">
        <v>237.79930229544055</v>
      </c>
      <c r="C218">
        <v>242.49414339594068</v>
      </c>
      <c r="D218">
        <v>248.12416207931855</v>
      </c>
      <c r="E218">
        <v>266.65335309837144</v>
      </c>
      <c r="F218">
        <v>248.39926656603311</v>
      </c>
      <c r="G218">
        <v>239.61192058966077</v>
      </c>
      <c r="H218">
        <v>270.4906620515718</v>
      </c>
      <c r="I218">
        <v>294.25777605745719</v>
      </c>
      <c r="J218">
        <v>316.06772192865145</v>
      </c>
      <c r="K218">
        <v>316.99347991507858</v>
      </c>
      <c r="L218">
        <v>367.49592605567983</v>
      </c>
    </row>
    <row r="219" spans="1:12" x14ac:dyDescent="0.25">
      <c r="A219">
        <v>244.95479648136069</v>
      </c>
      <c r="B219">
        <v>282.84634472915917</v>
      </c>
      <c r="C219">
        <v>257.27310960781438</v>
      </c>
      <c r="D219">
        <v>259.79711766230207</v>
      </c>
      <c r="E219">
        <v>321.08070772681623</v>
      </c>
      <c r="F219">
        <v>275.90676159062468</v>
      </c>
      <c r="G219">
        <v>281.96194576667563</v>
      </c>
      <c r="H219">
        <v>291.90061910607511</v>
      </c>
      <c r="I219">
        <v>307.72156233052135</v>
      </c>
      <c r="J219">
        <v>335.81671328560213</v>
      </c>
      <c r="K219">
        <v>351.0507163707652</v>
      </c>
      <c r="L219">
        <v>407.22861489948997</v>
      </c>
    </row>
    <row r="220" spans="1:12" x14ac:dyDescent="0.25">
      <c r="A220">
        <v>255.15637409352641</v>
      </c>
      <c r="B220">
        <v>266.68093824416007</v>
      </c>
      <c r="C220">
        <v>251.96760355712451</v>
      </c>
      <c r="D220">
        <v>255.96167970681321</v>
      </c>
      <c r="E220">
        <v>296.62780883082183</v>
      </c>
      <c r="F220">
        <v>271.11827154857536</v>
      </c>
      <c r="G220">
        <v>273.70907666230238</v>
      </c>
      <c r="H220">
        <v>293.20359048340777</v>
      </c>
      <c r="I220">
        <v>323.22750501090314</v>
      </c>
      <c r="J220">
        <v>334.48352484808964</v>
      </c>
      <c r="K220">
        <v>340.61914207063046</v>
      </c>
      <c r="L220">
        <v>418.1470929973965</v>
      </c>
    </row>
    <row r="221" spans="1:12" x14ac:dyDescent="0.25">
      <c r="A221">
        <v>235.94848174062446</v>
      </c>
      <c r="B221">
        <v>258.01735732236716</v>
      </c>
      <c r="C221">
        <v>235.23071270083662</v>
      </c>
      <c r="D221">
        <v>239.62499094288341</v>
      </c>
      <c r="E221">
        <v>275.75897949901048</v>
      </c>
      <c r="F221">
        <v>230.33938348999214</v>
      </c>
      <c r="G221">
        <v>246.01644763847108</v>
      </c>
      <c r="H221">
        <v>259.63844452876668</v>
      </c>
      <c r="I221">
        <v>269.81863890347006</v>
      </c>
      <c r="J221">
        <v>284.31794042782491</v>
      </c>
      <c r="K221">
        <v>292.20058939593696</v>
      </c>
      <c r="L221">
        <v>350.05275400584679</v>
      </c>
    </row>
    <row r="222" spans="1:12" x14ac:dyDescent="0.25">
      <c r="A222">
        <v>253.16864476933503</v>
      </c>
      <c r="B222">
        <v>264.98116125691502</v>
      </c>
      <c r="C222">
        <v>246.63880140409114</v>
      </c>
      <c r="D222">
        <v>225.03394066063871</v>
      </c>
      <c r="E222">
        <v>272.67620551701521</v>
      </c>
      <c r="F222">
        <v>235.24589026428782</v>
      </c>
      <c r="G222">
        <v>236.68270019093805</v>
      </c>
      <c r="H222">
        <v>249.72130475316064</v>
      </c>
      <c r="I222">
        <v>281.6091426459414</v>
      </c>
      <c r="J222">
        <v>288.93045184962534</v>
      </c>
      <c r="K222">
        <v>293.70875295467863</v>
      </c>
      <c r="L222">
        <v>350.41110176398962</v>
      </c>
    </row>
    <row r="223" spans="1:12" x14ac:dyDescent="0.25">
      <c r="A223">
        <v>248.83150791333262</v>
      </c>
      <c r="B223">
        <v>253.60824471904371</v>
      </c>
      <c r="C223">
        <v>244.65563764716836</v>
      </c>
      <c r="D223">
        <v>235.12457441204697</v>
      </c>
      <c r="E223">
        <v>276.87081889057703</v>
      </c>
      <c r="F223">
        <v>237.73773720836633</v>
      </c>
      <c r="G223">
        <v>239.95192570665179</v>
      </c>
      <c r="H223">
        <v>243.27405650893519</v>
      </c>
      <c r="I223">
        <v>257.17351890542056</v>
      </c>
      <c r="J223">
        <v>271.63660841750669</v>
      </c>
      <c r="K223">
        <v>297.15523286765472</v>
      </c>
      <c r="L223">
        <v>350.00120821010972</v>
      </c>
    </row>
    <row r="224" spans="1:12" x14ac:dyDescent="0.25">
      <c r="A224">
        <v>243.19196764767003</v>
      </c>
      <c r="B224">
        <v>273.4276831197102</v>
      </c>
      <c r="C224">
        <v>263.31004127794887</v>
      </c>
      <c r="D224">
        <v>241.37003054493329</v>
      </c>
      <c r="E224">
        <v>292.52379365891881</v>
      </c>
      <c r="F224">
        <v>253.68238080497031</v>
      </c>
      <c r="G224">
        <v>255.18957512453821</v>
      </c>
      <c r="H224">
        <v>251.79768607712126</v>
      </c>
      <c r="I224">
        <v>294.1786882954155</v>
      </c>
      <c r="J224">
        <v>294.22622395065616</v>
      </c>
      <c r="K224">
        <v>326.03422673607969</v>
      </c>
      <c r="L224">
        <v>338.78609854825493</v>
      </c>
    </row>
    <row r="225" spans="1:12" x14ac:dyDescent="0.25">
      <c r="A225">
        <v>258.96614590462133</v>
      </c>
      <c r="B225">
        <v>277.6241953734451</v>
      </c>
      <c r="C225">
        <v>252.72661212889469</v>
      </c>
      <c r="D225">
        <v>250.06518718573136</v>
      </c>
      <c r="E225">
        <v>299.07492972027023</v>
      </c>
      <c r="F225">
        <v>275.54328116373381</v>
      </c>
      <c r="G225">
        <v>277.37328334913451</v>
      </c>
      <c r="H225">
        <v>281.76574029013972</v>
      </c>
      <c r="I225">
        <v>316.22351274187906</v>
      </c>
      <c r="J225">
        <v>338.69156746645558</v>
      </c>
      <c r="K225">
        <v>371.13948741367557</v>
      </c>
      <c r="L225">
        <v>422.14355677747255</v>
      </c>
    </row>
    <row r="226" spans="1:12" x14ac:dyDescent="0.25">
      <c r="A226">
        <v>247.30484668031497</v>
      </c>
      <c r="B226">
        <v>268.82248136226633</v>
      </c>
      <c r="C226">
        <v>244.57422104764507</v>
      </c>
      <c r="D226">
        <v>250.8239797525554</v>
      </c>
      <c r="E226">
        <v>295.62363629474441</v>
      </c>
      <c r="F226">
        <v>241.04712541740997</v>
      </c>
      <c r="G226">
        <v>265.80110179080373</v>
      </c>
      <c r="H226">
        <v>260.58703002598463</v>
      </c>
      <c r="I226">
        <v>291.39546635071588</v>
      </c>
      <c r="J226">
        <v>305.71462275193193</v>
      </c>
      <c r="K226">
        <v>318.405866423021</v>
      </c>
      <c r="L226">
        <v>384.70252265309625</v>
      </c>
    </row>
    <row r="227" spans="1:12" x14ac:dyDescent="0.25">
      <c r="A227">
        <v>272.65479001860461</v>
      </c>
      <c r="B227">
        <v>266.45029303365817</v>
      </c>
      <c r="C227">
        <v>248.0224829742769</v>
      </c>
      <c r="D227">
        <v>252.34949856517738</v>
      </c>
      <c r="E227">
        <v>306.40298721069712</v>
      </c>
      <c r="F227">
        <v>262.3878696943159</v>
      </c>
      <c r="G227">
        <v>264.93524779173339</v>
      </c>
      <c r="H227">
        <v>263.78806944818194</v>
      </c>
      <c r="I227">
        <v>289.64561451146994</v>
      </c>
      <c r="J227">
        <v>293.93763025396743</v>
      </c>
      <c r="K227">
        <v>317.38121754249244</v>
      </c>
      <c r="L227">
        <v>373.02330599849245</v>
      </c>
    </row>
    <row r="228" spans="1:12" x14ac:dyDescent="0.25">
      <c r="A228">
        <v>230.50062085705525</v>
      </c>
      <c r="B228">
        <v>256.21532411127896</v>
      </c>
      <c r="C228">
        <v>243.5500838191696</v>
      </c>
      <c r="D228">
        <v>261.2077924250359</v>
      </c>
      <c r="E228">
        <v>286.50992838626939</v>
      </c>
      <c r="F228">
        <v>252.01549619584455</v>
      </c>
      <c r="G228">
        <v>265.1760031635182</v>
      </c>
      <c r="H228">
        <v>265.68083066281349</v>
      </c>
      <c r="I228">
        <v>281.84825995677949</v>
      </c>
      <c r="J228">
        <v>311.16632069123534</v>
      </c>
      <c r="K228">
        <v>339.45665909128854</v>
      </c>
      <c r="L228">
        <v>382.03267626742928</v>
      </c>
    </row>
    <row r="229" spans="1:12" x14ac:dyDescent="0.25">
      <c r="A229">
        <v>243.45044561022073</v>
      </c>
      <c r="B229">
        <v>266.37776699081036</v>
      </c>
      <c r="C229">
        <v>249.96460833718857</v>
      </c>
      <c r="D229">
        <v>219.85018395611542</v>
      </c>
      <c r="E229">
        <v>281.6767745840657</v>
      </c>
      <c r="F229">
        <v>255.50743671972151</v>
      </c>
      <c r="G229">
        <v>248.55819788138211</v>
      </c>
      <c r="H229">
        <v>256.94180040083393</v>
      </c>
      <c r="I229">
        <v>281.48371895678264</v>
      </c>
      <c r="J229">
        <v>293.77276147883128</v>
      </c>
      <c r="K229">
        <v>307.25222049806689</v>
      </c>
      <c r="L229">
        <v>349.29429000526375</v>
      </c>
    </row>
    <row r="230" spans="1:12" x14ac:dyDescent="0.25">
      <c r="A230">
        <v>243.99901462957817</v>
      </c>
      <c r="B230">
        <v>269.58077771014069</v>
      </c>
      <c r="C230">
        <v>241.9422277365085</v>
      </c>
      <c r="D230">
        <v>235.48758890780795</v>
      </c>
      <c r="E230">
        <v>285.8408689421741</v>
      </c>
      <c r="F230">
        <v>264.49005524104621</v>
      </c>
      <c r="G230">
        <v>262.07173727036707</v>
      </c>
      <c r="H230">
        <v>280.9949874204861</v>
      </c>
      <c r="I230">
        <v>303.25906115315485</v>
      </c>
      <c r="J230">
        <v>332.14523967238625</v>
      </c>
      <c r="K230">
        <v>334.66341998217359</v>
      </c>
      <c r="L230">
        <v>402.45185356521682</v>
      </c>
    </row>
    <row r="231" spans="1:12" x14ac:dyDescent="0.25">
      <c r="A231">
        <v>234.19548788584081</v>
      </c>
      <c r="B231">
        <v>236.47661870278876</v>
      </c>
      <c r="C231">
        <v>235.30770108354818</v>
      </c>
      <c r="D231">
        <v>236.5888888203543</v>
      </c>
      <c r="E231">
        <v>285.13223428517665</v>
      </c>
      <c r="F231">
        <v>248.34372426784844</v>
      </c>
      <c r="G231">
        <v>246.34158701896595</v>
      </c>
      <c r="H231">
        <v>266.81798011971841</v>
      </c>
      <c r="I231">
        <v>272.60589880560832</v>
      </c>
      <c r="J231">
        <v>298.51274590631778</v>
      </c>
      <c r="K231">
        <v>298.59299221966666</v>
      </c>
      <c r="L231">
        <v>355.59221883650855</v>
      </c>
    </row>
    <row r="232" spans="1:12" x14ac:dyDescent="0.25">
      <c r="A232">
        <v>221.88304244427093</v>
      </c>
      <c r="B232">
        <v>243.18348435866747</v>
      </c>
      <c r="C232">
        <v>222.63279442039646</v>
      </c>
      <c r="D232">
        <v>218.91271400110853</v>
      </c>
      <c r="E232">
        <v>259.82934474788038</v>
      </c>
      <c r="F232">
        <v>218.92887007630091</v>
      </c>
      <c r="G232">
        <v>211.86470632586588</v>
      </c>
      <c r="H232">
        <v>223.00204122519048</v>
      </c>
      <c r="I232">
        <v>250.77315263481114</v>
      </c>
      <c r="J232">
        <v>253.705297880117</v>
      </c>
      <c r="K232">
        <v>271.62677618725644</v>
      </c>
      <c r="L232">
        <v>310.71650393037106</v>
      </c>
    </row>
    <row r="233" spans="1:12" x14ac:dyDescent="0.25">
      <c r="A233">
        <v>254.36671764881689</v>
      </c>
      <c r="B233">
        <v>281.9818615575839</v>
      </c>
      <c r="C233">
        <v>263.69871590451095</v>
      </c>
      <c r="D233">
        <v>243.95490974928364</v>
      </c>
      <c r="E233">
        <v>285.89948012934599</v>
      </c>
      <c r="F233">
        <v>257.77072674172388</v>
      </c>
      <c r="G233">
        <v>266.18122024497808</v>
      </c>
      <c r="H233">
        <v>280.54991850417417</v>
      </c>
      <c r="I233">
        <v>300.85048322142484</v>
      </c>
      <c r="J233">
        <v>328.33800228097454</v>
      </c>
      <c r="K233">
        <v>334.53719742190782</v>
      </c>
      <c r="L233">
        <v>417.44664223892596</v>
      </c>
    </row>
    <row r="234" spans="1:12" x14ac:dyDescent="0.25">
      <c r="A234">
        <v>242.35189748456659</v>
      </c>
      <c r="B234">
        <v>278.82543871309065</v>
      </c>
      <c r="C234">
        <v>241.44626043666958</v>
      </c>
      <c r="D234">
        <v>238.24281509638035</v>
      </c>
      <c r="E234">
        <v>280.73842269179329</v>
      </c>
      <c r="F234">
        <v>249.37933146366038</v>
      </c>
      <c r="G234">
        <v>246.9890816032875</v>
      </c>
      <c r="H234">
        <v>263.00869616355482</v>
      </c>
      <c r="I234">
        <v>293.39688873750214</v>
      </c>
      <c r="J234">
        <v>287.48043100537683</v>
      </c>
      <c r="K234">
        <v>309.37712893155043</v>
      </c>
      <c r="L234">
        <v>364.75481046618631</v>
      </c>
    </row>
    <row r="235" spans="1:12" x14ac:dyDescent="0.25">
      <c r="A235">
        <v>274.8073494585658</v>
      </c>
      <c r="B235">
        <v>269.84166522485498</v>
      </c>
      <c r="C235">
        <v>244.85830797992821</v>
      </c>
      <c r="D235">
        <v>269.67144207695276</v>
      </c>
      <c r="E235">
        <v>292.15056227619948</v>
      </c>
      <c r="F235">
        <v>282.05865463963596</v>
      </c>
      <c r="G235">
        <v>291.22438985247101</v>
      </c>
      <c r="H235">
        <v>301.76833304351049</v>
      </c>
      <c r="I235">
        <v>322.85122547633927</v>
      </c>
      <c r="J235">
        <v>336.89775857600966</v>
      </c>
      <c r="K235">
        <v>371.95066014807912</v>
      </c>
      <c r="L235">
        <v>436.79488714879272</v>
      </c>
    </row>
    <row r="236" spans="1:12" x14ac:dyDescent="0.25">
      <c r="A236">
        <v>260.90280137472041</v>
      </c>
      <c r="B236">
        <v>258.77561492033715</v>
      </c>
      <c r="C236">
        <v>236.77279966182496</v>
      </c>
      <c r="D236">
        <v>233.05198641141692</v>
      </c>
      <c r="E236">
        <v>279.65774737635218</v>
      </c>
      <c r="F236">
        <v>269.54539072449552</v>
      </c>
      <c r="G236">
        <v>246.19327811719009</v>
      </c>
      <c r="H236">
        <v>268.92369753602679</v>
      </c>
      <c r="I236">
        <v>270.22054854353399</v>
      </c>
      <c r="J236">
        <v>296.73683351673282</v>
      </c>
      <c r="K236">
        <v>326.8187349000172</v>
      </c>
      <c r="L236">
        <v>387.64493454558198</v>
      </c>
    </row>
    <row r="237" spans="1:12" x14ac:dyDescent="0.25">
      <c r="A237">
        <v>247.9999244520572</v>
      </c>
      <c r="B237">
        <v>258.48538153561333</v>
      </c>
      <c r="C237">
        <v>229.71721797342909</v>
      </c>
      <c r="D237">
        <v>228.73039220599907</v>
      </c>
      <c r="E237">
        <v>267.33114026330219</v>
      </c>
      <c r="F237">
        <v>249.72414816152701</v>
      </c>
      <c r="G237">
        <v>255.80112529742553</v>
      </c>
      <c r="H237">
        <v>244.125657637731</v>
      </c>
      <c r="I237">
        <v>281.91052679956363</v>
      </c>
      <c r="J237">
        <v>302.65711043687691</v>
      </c>
      <c r="K237">
        <v>311.73004337607637</v>
      </c>
      <c r="L237">
        <v>359.49342173813073</v>
      </c>
    </row>
    <row r="238" spans="1:12" x14ac:dyDescent="0.25">
      <c r="A238">
        <v>253.56602553717087</v>
      </c>
      <c r="B238">
        <v>260.74225161786069</v>
      </c>
      <c r="C238">
        <v>236.77463502442217</v>
      </c>
      <c r="D238">
        <v>251.75569761975871</v>
      </c>
      <c r="E238">
        <v>289.07642781492001</v>
      </c>
      <c r="F238">
        <v>251.59201981636508</v>
      </c>
      <c r="G238">
        <v>265.72848699749835</v>
      </c>
      <c r="H238">
        <v>272.783610569502</v>
      </c>
      <c r="I238">
        <v>289.6897919727308</v>
      </c>
      <c r="J238">
        <v>293.76246187196659</v>
      </c>
      <c r="K238">
        <v>315.75439897382597</v>
      </c>
      <c r="L238">
        <v>356.85865551727716</v>
      </c>
    </row>
    <row r="239" spans="1:12" x14ac:dyDescent="0.25">
      <c r="A239">
        <v>244.89593818829948</v>
      </c>
      <c r="B239">
        <v>280.07717377549528</v>
      </c>
      <c r="C239">
        <v>262.76831396202084</v>
      </c>
      <c r="D239">
        <v>262.4754278072021</v>
      </c>
      <c r="E239">
        <v>307.79226221063925</v>
      </c>
      <c r="F239">
        <v>263.16475750754131</v>
      </c>
      <c r="G239">
        <v>280.43920556033578</v>
      </c>
      <c r="H239">
        <v>267.97591130888253</v>
      </c>
      <c r="I239">
        <v>311.9449008210953</v>
      </c>
      <c r="J239">
        <v>349.5560766628775</v>
      </c>
      <c r="K239">
        <v>343.26126745017808</v>
      </c>
      <c r="L239">
        <v>415.9044211255096</v>
      </c>
    </row>
    <row r="240" spans="1:12" x14ac:dyDescent="0.25">
      <c r="A240">
        <v>258.15413488533102</v>
      </c>
      <c r="B240">
        <v>271.50450007165784</v>
      </c>
      <c r="C240">
        <v>247.49342443172497</v>
      </c>
      <c r="D240">
        <v>265.64494309376312</v>
      </c>
      <c r="E240">
        <v>321.34017080976747</v>
      </c>
      <c r="F240">
        <v>285.0334710407559</v>
      </c>
      <c r="G240">
        <v>288.28650633498245</v>
      </c>
      <c r="H240">
        <v>313.20487136678787</v>
      </c>
      <c r="I240">
        <v>334.00903461593924</v>
      </c>
      <c r="J240">
        <v>348.80389177507493</v>
      </c>
      <c r="K240">
        <v>383.99921026289235</v>
      </c>
      <c r="L240">
        <v>452.55022142205826</v>
      </c>
    </row>
    <row r="241" spans="1:12" x14ac:dyDescent="0.25">
      <c r="A241">
        <v>252.12228321279301</v>
      </c>
      <c r="B241">
        <v>272.76400813073616</v>
      </c>
      <c r="C241">
        <v>240.39415273225327</v>
      </c>
      <c r="D241">
        <v>243.58960245817931</v>
      </c>
      <c r="E241">
        <v>279.42654212848947</v>
      </c>
      <c r="F241">
        <v>244.39688468043508</v>
      </c>
      <c r="G241">
        <v>277.37972296425238</v>
      </c>
      <c r="H241">
        <v>258.89496142716433</v>
      </c>
      <c r="I241">
        <v>301.36567762296607</v>
      </c>
      <c r="J241">
        <v>322.66380692191149</v>
      </c>
      <c r="K241">
        <v>328.25510532729334</v>
      </c>
      <c r="L241">
        <v>393.81398256126261</v>
      </c>
    </row>
    <row r="242" spans="1:12" x14ac:dyDescent="0.25">
      <c r="A242">
        <v>244.35218263586876</v>
      </c>
      <c r="B242">
        <v>240.85441139084574</v>
      </c>
      <c r="C242">
        <v>229.7249274312008</v>
      </c>
      <c r="D242">
        <v>214.60015416756352</v>
      </c>
      <c r="E242">
        <v>251.55726056011841</v>
      </c>
      <c r="F242">
        <v>220.45973881099792</v>
      </c>
      <c r="G242">
        <v>218.72381140482105</v>
      </c>
      <c r="H242">
        <v>237.92276531247478</v>
      </c>
      <c r="I242">
        <v>256.16078454815488</v>
      </c>
      <c r="J242">
        <v>234.52464373962229</v>
      </c>
      <c r="K242">
        <v>269.48378077915453</v>
      </c>
      <c r="L242">
        <v>298.16096479147308</v>
      </c>
    </row>
    <row r="243" spans="1:12" x14ac:dyDescent="0.25">
      <c r="A243">
        <v>255.73837286131058</v>
      </c>
      <c r="B243">
        <v>271.73704994570971</v>
      </c>
      <c r="C243">
        <v>258.28261718648662</v>
      </c>
      <c r="D243">
        <v>250.81190997014474</v>
      </c>
      <c r="E243">
        <v>289.92752663054068</v>
      </c>
      <c r="F243">
        <v>251.74803041163077</v>
      </c>
      <c r="G243">
        <v>262.57277677114973</v>
      </c>
      <c r="H243">
        <v>271.8940172589696</v>
      </c>
      <c r="I243">
        <v>307.61763908018065</v>
      </c>
      <c r="J243">
        <v>312.10428175317924</v>
      </c>
      <c r="K243">
        <v>347.43792876608239</v>
      </c>
      <c r="L243">
        <v>391.63313411788289</v>
      </c>
    </row>
    <row r="244" spans="1:12" x14ac:dyDescent="0.25">
      <c r="A244">
        <v>246.77658971943589</v>
      </c>
      <c r="B244">
        <v>268.86629989951717</v>
      </c>
      <c r="C244">
        <v>248.13902704331323</v>
      </c>
      <c r="D244">
        <v>253.87588350355054</v>
      </c>
      <c r="E244">
        <v>267.96264901618957</v>
      </c>
      <c r="F244">
        <v>250.46715551084742</v>
      </c>
      <c r="G244">
        <v>271.58415334167529</v>
      </c>
      <c r="H244">
        <v>262.4401174180951</v>
      </c>
      <c r="I244">
        <v>265.60856118216907</v>
      </c>
      <c r="J244">
        <v>292.18169720444098</v>
      </c>
      <c r="K244">
        <v>307.49018044135619</v>
      </c>
      <c r="L244">
        <v>368.68022216611706</v>
      </c>
    </row>
    <row r="245" spans="1:12" x14ac:dyDescent="0.25">
      <c r="A245">
        <v>257.02503391282289</v>
      </c>
      <c r="B245">
        <v>277.15026809006787</v>
      </c>
      <c r="C245">
        <v>251.07359862210109</v>
      </c>
      <c r="D245">
        <v>267.5111955130177</v>
      </c>
      <c r="E245">
        <v>290.70358509810217</v>
      </c>
      <c r="F245">
        <v>254.40725853873039</v>
      </c>
      <c r="G245">
        <v>277.32310815672616</v>
      </c>
      <c r="H245">
        <v>280.79166576752078</v>
      </c>
      <c r="I245">
        <v>311.54313529709981</v>
      </c>
      <c r="J245">
        <v>316.03515953868845</v>
      </c>
      <c r="K245">
        <v>329.87380921404758</v>
      </c>
      <c r="L245">
        <v>388.51992044706753</v>
      </c>
    </row>
    <row r="246" spans="1:12" x14ac:dyDescent="0.25">
      <c r="A246">
        <v>229.64574386611844</v>
      </c>
      <c r="B246">
        <v>241.33183530494847</v>
      </c>
      <c r="C246">
        <v>236.95802765685224</v>
      </c>
      <c r="D246">
        <v>250.7893631176874</v>
      </c>
      <c r="E246">
        <v>278.84117195153709</v>
      </c>
      <c r="F246">
        <v>257.38543335662251</v>
      </c>
      <c r="G246">
        <v>245.07549514269522</v>
      </c>
      <c r="H246">
        <v>272.5098023896748</v>
      </c>
      <c r="I246">
        <v>294.87939769446854</v>
      </c>
      <c r="J246">
        <v>310.6407760274567</v>
      </c>
      <c r="K246">
        <v>313.16679391224045</v>
      </c>
      <c r="L246">
        <v>369.27475423466637</v>
      </c>
    </row>
    <row r="247" spans="1:12" x14ac:dyDescent="0.25">
      <c r="A247">
        <v>231.20612937254796</v>
      </c>
      <c r="B247">
        <v>267.95314340195614</v>
      </c>
      <c r="C247">
        <v>234.80167084158452</v>
      </c>
      <c r="D247">
        <v>230.22794355201808</v>
      </c>
      <c r="E247">
        <v>282.03260273456561</v>
      </c>
      <c r="F247">
        <v>247.49835107285259</v>
      </c>
      <c r="G247">
        <v>264.01095522315211</v>
      </c>
      <c r="H247">
        <v>248.15606315850053</v>
      </c>
      <c r="I247">
        <v>287.3747397577784</v>
      </c>
      <c r="J247">
        <v>290.28022655799981</v>
      </c>
      <c r="K247">
        <v>310.54321142646944</v>
      </c>
      <c r="L247">
        <v>355.44023433679473</v>
      </c>
    </row>
    <row r="248" spans="1:12" x14ac:dyDescent="0.25">
      <c r="A248">
        <v>234.67123195639087</v>
      </c>
      <c r="B248">
        <v>266.27118826084967</v>
      </c>
      <c r="C248">
        <v>237.7990288197557</v>
      </c>
      <c r="D248">
        <v>252.30304387621698</v>
      </c>
      <c r="E248">
        <v>303.55889005067905</v>
      </c>
      <c r="F248">
        <v>274.57432326526691</v>
      </c>
      <c r="G248">
        <v>280.60486889504449</v>
      </c>
      <c r="H248">
        <v>286.5385282197131</v>
      </c>
      <c r="I248">
        <v>324.31963255175486</v>
      </c>
      <c r="J248">
        <v>335.6083048632691</v>
      </c>
      <c r="K248">
        <v>354.6484299738355</v>
      </c>
      <c r="L248">
        <v>427.11373926192613</v>
      </c>
    </row>
    <row r="249" spans="1:12" x14ac:dyDescent="0.25">
      <c r="A249">
        <v>251.64202422982922</v>
      </c>
      <c r="B249">
        <v>281.8263367116744</v>
      </c>
      <c r="C249">
        <v>238.86608688301297</v>
      </c>
      <c r="D249">
        <v>266.90655397874082</v>
      </c>
      <c r="E249">
        <v>293.78418601608593</v>
      </c>
      <c r="F249">
        <v>256.73120522863383</v>
      </c>
      <c r="G249">
        <v>285.96730242314925</v>
      </c>
      <c r="H249">
        <v>281.04248160709051</v>
      </c>
      <c r="I249">
        <v>307.4566797812941</v>
      </c>
      <c r="J249">
        <v>318.75857297670825</v>
      </c>
      <c r="K249">
        <v>349.65858289148457</v>
      </c>
      <c r="L249">
        <v>412.17792187174729</v>
      </c>
    </row>
    <row r="250" spans="1:12" x14ac:dyDescent="0.25">
      <c r="A250">
        <v>230.9099273071202</v>
      </c>
      <c r="B250">
        <v>262.65524166848718</v>
      </c>
      <c r="C250">
        <v>223.87401701843817</v>
      </c>
      <c r="D250">
        <v>237.02602914674995</v>
      </c>
      <c r="E250">
        <v>274.3928386906162</v>
      </c>
      <c r="F250">
        <v>249.18863446757501</v>
      </c>
      <c r="G250">
        <v>237.17036769245144</v>
      </c>
      <c r="H250">
        <v>235.02277722930808</v>
      </c>
      <c r="I250">
        <v>259.27248511130966</v>
      </c>
      <c r="J250">
        <v>295.63288093116893</v>
      </c>
      <c r="K250">
        <v>302.68142561713285</v>
      </c>
      <c r="L250">
        <v>354.90809042269859</v>
      </c>
    </row>
    <row r="251" spans="1:12" x14ac:dyDescent="0.25">
      <c r="A251">
        <v>234.08517403123207</v>
      </c>
      <c r="B251">
        <v>247.57292526075571</v>
      </c>
      <c r="C251">
        <v>243.71656862252971</v>
      </c>
      <c r="D251">
        <v>235.46239754388463</v>
      </c>
      <c r="E251">
        <v>281.08425898958973</v>
      </c>
      <c r="F251">
        <v>251.05498994477804</v>
      </c>
      <c r="G251">
        <v>266.81055167779391</v>
      </c>
      <c r="H251">
        <v>275.28469484061594</v>
      </c>
      <c r="I251">
        <v>289.92229757291898</v>
      </c>
      <c r="J251">
        <v>312.89638737524001</v>
      </c>
      <c r="K251">
        <v>342.44856345753954</v>
      </c>
      <c r="L251">
        <v>393.61443661463278</v>
      </c>
    </row>
    <row r="252" spans="1:12" x14ac:dyDescent="0.25">
      <c r="A252">
        <v>268.99086293680267</v>
      </c>
      <c r="B252">
        <v>273.12301701488775</v>
      </c>
      <c r="C252">
        <v>232.1391226979492</v>
      </c>
      <c r="D252">
        <v>240.52295632256266</v>
      </c>
      <c r="E252">
        <v>290.79789130343391</v>
      </c>
      <c r="F252">
        <v>266.87363808425943</v>
      </c>
      <c r="G252">
        <v>249.1057179193121</v>
      </c>
      <c r="H252">
        <v>257.70068816092663</v>
      </c>
      <c r="I252">
        <v>300.74252974319472</v>
      </c>
      <c r="J252">
        <v>324.61578140286321</v>
      </c>
      <c r="K252">
        <v>326.77437838765331</v>
      </c>
      <c r="L252">
        <v>399.48005335535208</v>
      </c>
    </row>
    <row r="253" spans="1:12" x14ac:dyDescent="0.25">
      <c r="A253">
        <v>234.86688800068896</v>
      </c>
      <c r="B253">
        <v>248.64844917877696</v>
      </c>
      <c r="C253">
        <v>242.24063059208871</v>
      </c>
      <c r="D253">
        <v>248.60742935503524</v>
      </c>
      <c r="E253">
        <v>300.72775299939747</v>
      </c>
      <c r="F253">
        <v>252.6179926665472</v>
      </c>
      <c r="G253">
        <v>262.39833620823202</v>
      </c>
      <c r="H253">
        <v>262.85341783969801</v>
      </c>
      <c r="I253">
        <v>286.75840210961411</v>
      </c>
      <c r="J253">
        <v>301.47711959147676</v>
      </c>
      <c r="K253">
        <v>338.37960634338498</v>
      </c>
      <c r="L253">
        <v>359.68396333278037</v>
      </c>
    </row>
    <row r="254" spans="1:12" x14ac:dyDescent="0.25">
      <c r="A254">
        <v>228.89492783701277</v>
      </c>
      <c r="B254">
        <v>256.30284013415377</v>
      </c>
      <c r="C254">
        <v>227.22896938221206</v>
      </c>
      <c r="D254">
        <v>231.93444398152357</v>
      </c>
      <c r="E254">
        <v>253.31569658400173</v>
      </c>
      <c r="F254">
        <v>215.5898594791351</v>
      </c>
      <c r="G254">
        <v>237.05539836654671</v>
      </c>
      <c r="H254">
        <v>240.30495027926509</v>
      </c>
      <c r="I254">
        <v>241.8237949410219</v>
      </c>
      <c r="J254">
        <v>273.13430610129893</v>
      </c>
      <c r="K254">
        <v>287.81541589828737</v>
      </c>
      <c r="L254">
        <v>323.26347169197157</v>
      </c>
    </row>
    <row r="255" spans="1:12" x14ac:dyDescent="0.25">
      <c r="A255">
        <v>234.67475813734634</v>
      </c>
      <c r="B255">
        <v>239.42874488817924</v>
      </c>
      <c r="C255">
        <v>239.23382109851886</v>
      </c>
      <c r="D255">
        <v>218.77105278255019</v>
      </c>
      <c r="E255">
        <v>277.22799162601984</v>
      </c>
      <c r="F255">
        <v>219.5100130174043</v>
      </c>
      <c r="G255">
        <v>224.33304074451087</v>
      </c>
      <c r="H255">
        <v>230.84531703161645</v>
      </c>
      <c r="I255">
        <v>253.66356272824609</v>
      </c>
      <c r="J255">
        <v>275.096813585669</v>
      </c>
      <c r="K255">
        <v>297.6917544712316</v>
      </c>
      <c r="L255">
        <v>345.87786185986931</v>
      </c>
    </row>
    <row r="256" spans="1:12" x14ac:dyDescent="0.25">
      <c r="A256">
        <v>236.0798361266946</v>
      </c>
      <c r="B256">
        <v>264.63002164789691</v>
      </c>
      <c r="C256">
        <v>236.42889283651252</v>
      </c>
      <c r="D256">
        <v>251.51565568189184</v>
      </c>
      <c r="E256">
        <v>271.03359783402169</v>
      </c>
      <c r="F256">
        <v>274.53107202071857</v>
      </c>
      <c r="G256">
        <v>269.3628752544451</v>
      </c>
      <c r="H256">
        <v>284.35993572045209</v>
      </c>
      <c r="I256">
        <v>310.037444326242</v>
      </c>
      <c r="J256">
        <v>317.70306644319498</v>
      </c>
      <c r="K256">
        <v>354.31397052061914</v>
      </c>
      <c r="L256">
        <v>415.88563592282651</v>
      </c>
    </row>
    <row r="257" spans="1:12" x14ac:dyDescent="0.25">
      <c r="A257">
        <v>259.08044587804204</v>
      </c>
      <c r="B257">
        <v>266.34336110475795</v>
      </c>
      <c r="C257">
        <v>255.8487863180778</v>
      </c>
      <c r="D257">
        <v>243.25796652690542</v>
      </c>
      <c r="E257">
        <v>286.90076098480796</v>
      </c>
      <c r="F257">
        <v>257.81670181163173</v>
      </c>
      <c r="G257">
        <v>266.62822050296666</v>
      </c>
      <c r="H257">
        <v>278.90226400820933</v>
      </c>
      <c r="I257">
        <v>287.74355547849547</v>
      </c>
      <c r="J257">
        <v>307.96439870976906</v>
      </c>
      <c r="K257">
        <v>321.94942896815996</v>
      </c>
      <c r="L257">
        <v>374.29553871517811</v>
      </c>
    </row>
    <row r="258" spans="1:12" x14ac:dyDescent="0.25">
      <c r="A258">
        <v>216.92439389726721</v>
      </c>
      <c r="B258">
        <v>243.49502030062638</v>
      </c>
      <c r="C258">
        <v>216.22041251284023</v>
      </c>
      <c r="D258">
        <v>217.71762206526432</v>
      </c>
      <c r="E258">
        <v>245.02476048684676</v>
      </c>
      <c r="F258">
        <v>232.62816181502134</v>
      </c>
      <c r="G258">
        <v>221.68755557794009</v>
      </c>
      <c r="H258">
        <v>234.60338922246376</v>
      </c>
      <c r="I258">
        <v>263.11504508582448</v>
      </c>
      <c r="J258">
        <v>281.22633453138667</v>
      </c>
      <c r="K258">
        <v>302.75619592059616</v>
      </c>
      <c r="L258">
        <v>336.38514490757143</v>
      </c>
    </row>
    <row r="259" spans="1:12" x14ac:dyDescent="0.25">
      <c r="A259">
        <v>245.21521707279513</v>
      </c>
      <c r="B259">
        <v>272.32787952902277</v>
      </c>
      <c r="C259">
        <v>241.1035774519442</v>
      </c>
      <c r="D259">
        <v>251.57971543472971</v>
      </c>
      <c r="E259">
        <v>278.1197531314541</v>
      </c>
      <c r="F259">
        <v>271.04730729290065</v>
      </c>
      <c r="G259">
        <v>272.71990630329162</v>
      </c>
      <c r="H259">
        <v>279.46709071827951</v>
      </c>
      <c r="I259">
        <v>312.67524520679217</v>
      </c>
      <c r="J259">
        <v>330.50934643270415</v>
      </c>
      <c r="K259">
        <v>337.37183494180516</v>
      </c>
      <c r="L259">
        <v>409.34337900663542</v>
      </c>
    </row>
    <row r="260" spans="1:12" x14ac:dyDescent="0.25">
      <c r="A260">
        <v>252.82829518842115</v>
      </c>
      <c r="B260">
        <v>273.16529992158337</v>
      </c>
      <c r="C260">
        <v>226.29442440545847</v>
      </c>
      <c r="D260">
        <v>247.41885427789973</v>
      </c>
      <c r="E260">
        <v>281.65765875046844</v>
      </c>
      <c r="F260">
        <v>242.62026583711051</v>
      </c>
      <c r="G260">
        <v>232.08586221299217</v>
      </c>
      <c r="H260">
        <v>263.43203111214808</v>
      </c>
      <c r="I260">
        <v>268.52396440476008</v>
      </c>
      <c r="J260">
        <v>296.42541056332709</v>
      </c>
      <c r="K260">
        <v>319.65363063203006</v>
      </c>
      <c r="L260">
        <v>354.71033382604617</v>
      </c>
    </row>
    <row r="261" spans="1:12" x14ac:dyDescent="0.25">
      <c r="A261">
        <v>257.82840806180303</v>
      </c>
      <c r="B261">
        <v>271.50575704516865</v>
      </c>
      <c r="C261">
        <v>253.0583877477427</v>
      </c>
      <c r="D261">
        <v>257.01499643672855</v>
      </c>
      <c r="E261">
        <v>297.96540651622826</v>
      </c>
      <c r="F261">
        <v>267.25780377585687</v>
      </c>
      <c r="G261">
        <v>268.6571470803575</v>
      </c>
      <c r="H261">
        <v>287.53134239071017</v>
      </c>
      <c r="I261">
        <v>310.07479099872774</v>
      </c>
      <c r="J261">
        <v>317.67369961793889</v>
      </c>
      <c r="K261">
        <v>336.35809595166546</v>
      </c>
      <c r="L261">
        <v>423.33571529179886</v>
      </c>
    </row>
    <row r="262" spans="1:12" x14ac:dyDescent="0.25">
      <c r="A262">
        <v>261.40623083141884</v>
      </c>
      <c r="B262">
        <v>271.43477164199726</v>
      </c>
      <c r="C262">
        <v>230.03443202850406</v>
      </c>
      <c r="D262">
        <v>231.81122101449793</v>
      </c>
      <c r="E262">
        <v>272.55801193608568</v>
      </c>
      <c r="F262">
        <v>245.93042211027335</v>
      </c>
      <c r="G262">
        <v>254.90223307588855</v>
      </c>
      <c r="H262">
        <v>255.62859479325962</v>
      </c>
      <c r="I262">
        <v>289.73455757717136</v>
      </c>
      <c r="J262">
        <v>298.92260804714959</v>
      </c>
      <c r="K262">
        <v>321.06491869799532</v>
      </c>
      <c r="L262">
        <v>361.38366335804085</v>
      </c>
    </row>
    <row r="263" spans="1:12" x14ac:dyDescent="0.25">
      <c r="A263">
        <v>239.30097114597274</v>
      </c>
      <c r="B263">
        <v>266.18798690834819</v>
      </c>
      <c r="C263">
        <v>243.78141400001704</v>
      </c>
      <c r="D263">
        <v>230.34767457180754</v>
      </c>
      <c r="E263">
        <v>275.42356468863346</v>
      </c>
      <c r="F263">
        <v>253.33133736438657</v>
      </c>
      <c r="G263">
        <v>263.27509193982473</v>
      </c>
      <c r="H263">
        <v>267.10190024601934</v>
      </c>
      <c r="I263">
        <v>303.24851524441408</v>
      </c>
      <c r="J263">
        <v>314.76476108909452</v>
      </c>
      <c r="K263">
        <v>331.59360803074782</v>
      </c>
      <c r="L263">
        <v>380.03411178478729</v>
      </c>
    </row>
    <row r="264" spans="1:12" x14ac:dyDescent="0.25">
      <c r="A264">
        <v>249.47541333305983</v>
      </c>
      <c r="B264">
        <v>269.47200898514677</v>
      </c>
      <c r="C264">
        <v>247.68685780793371</v>
      </c>
      <c r="D264">
        <v>224.28183295830155</v>
      </c>
      <c r="E264">
        <v>282.45979543509196</v>
      </c>
      <c r="F264">
        <v>231.07233288925414</v>
      </c>
      <c r="G264">
        <v>226.09337030643206</v>
      </c>
      <c r="H264">
        <v>260.45306946857386</v>
      </c>
      <c r="I264">
        <v>262.64370360905446</v>
      </c>
      <c r="J264">
        <v>292.38513360279421</v>
      </c>
      <c r="K264">
        <v>292.01730400950368</v>
      </c>
      <c r="L264">
        <v>355.49321467190697</v>
      </c>
    </row>
    <row r="265" spans="1:12" x14ac:dyDescent="0.25">
      <c r="A265">
        <v>258.64559153410158</v>
      </c>
      <c r="B265">
        <v>261.44038698379063</v>
      </c>
      <c r="C265">
        <v>246.89725658055514</v>
      </c>
      <c r="D265">
        <v>256.141542821028</v>
      </c>
      <c r="E265">
        <v>278.64896811124595</v>
      </c>
      <c r="F265">
        <v>249.97102028062835</v>
      </c>
      <c r="G265">
        <v>277.25267474642493</v>
      </c>
      <c r="H265">
        <v>283.78675562544106</v>
      </c>
      <c r="I265">
        <v>295.59973429553031</v>
      </c>
      <c r="J265">
        <v>320.17781559011445</v>
      </c>
      <c r="K265">
        <v>324.12076176047992</v>
      </c>
      <c r="L265">
        <v>376.43488120838538</v>
      </c>
    </row>
    <row r="266" spans="1:12" x14ac:dyDescent="0.25">
      <c r="A266">
        <v>256.64004896865947</v>
      </c>
      <c r="B266">
        <v>264.05683672609979</v>
      </c>
      <c r="C266">
        <v>264.78882415493581</v>
      </c>
      <c r="D266">
        <v>252.05106662611792</v>
      </c>
      <c r="E266">
        <v>315.06378536118359</v>
      </c>
      <c r="F266">
        <v>273.58624498579542</v>
      </c>
      <c r="G266">
        <v>293.11642484552965</v>
      </c>
      <c r="H266">
        <v>309.62943313514847</v>
      </c>
      <c r="I266">
        <v>341.38935699657787</v>
      </c>
      <c r="J266">
        <v>368.70873015955959</v>
      </c>
      <c r="K266">
        <v>375.02194658682851</v>
      </c>
      <c r="L266">
        <v>455.95453571512201</v>
      </c>
    </row>
    <row r="267" spans="1:12" x14ac:dyDescent="0.25">
      <c r="A267">
        <v>235.162350569343</v>
      </c>
      <c r="B267">
        <v>254.37731875095247</v>
      </c>
      <c r="C267">
        <v>249.55753327138635</v>
      </c>
      <c r="D267">
        <v>236.78593166957211</v>
      </c>
      <c r="E267">
        <v>269.34790325187419</v>
      </c>
      <c r="F267">
        <v>252.46523682229798</v>
      </c>
      <c r="G267">
        <v>269.33137843281878</v>
      </c>
      <c r="H267">
        <v>251.47365297397906</v>
      </c>
      <c r="I267">
        <v>278.11844676084058</v>
      </c>
      <c r="J267">
        <v>310.78536823351146</v>
      </c>
      <c r="K267">
        <v>313.42694588537955</v>
      </c>
      <c r="L267">
        <v>363.91217514216106</v>
      </c>
    </row>
    <row r="268" spans="1:12" x14ac:dyDescent="0.25">
      <c r="A268">
        <v>252.83615670362761</v>
      </c>
      <c r="B268">
        <v>253.14900525998979</v>
      </c>
      <c r="C268">
        <v>228.3627743818451</v>
      </c>
      <c r="D268">
        <v>243.21732073397067</v>
      </c>
      <c r="E268">
        <v>262.12105230779218</v>
      </c>
      <c r="F268">
        <v>241.26306909559767</v>
      </c>
      <c r="G268">
        <v>251.02871457023076</v>
      </c>
      <c r="H268">
        <v>244.27855241260167</v>
      </c>
      <c r="I268">
        <v>274.93964590219616</v>
      </c>
      <c r="J268">
        <v>270.23585356346695</v>
      </c>
      <c r="K268">
        <v>294.57145556576853</v>
      </c>
      <c r="L268">
        <v>324.73981278717082</v>
      </c>
    </row>
    <row r="269" spans="1:12" x14ac:dyDescent="0.25">
      <c r="A269">
        <v>242.85862979358578</v>
      </c>
      <c r="B269">
        <v>269.9816140244813</v>
      </c>
      <c r="C269">
        <v>223.62488206634717</v>
      </c>
      <c r="D269">
        <v>240.96196727165301</v>
      </c>
      <c r="E269">
        <v>278.62875184903368</v>
      </c>
      <c r="F269">
        <v>242.74129513519392</v>
      </c>
      <c r="G269">
        <v>258.88825873492044</v>
      </c>
      <c r="H269">
        <v>260.73470961582274</v>
      </c>
      <c r="I269">
        <v>296.86347692335522</v>
      </c>
      <c r="J269">
        <v>305.25181470054747</v>
      </c>
      <c r="K269">
        <v>331.41403429358849</v>
      </c>
      <c r="L269">
        <v>378.59044744979002</v>
      </c>
    </row>
    <row r="270" spans="1:12" x14ac:dyDescent="0.25">
      <c r="A270">
        <v>235.91650964643893</v>
      </c>
      <c r="B270">
        <v>261.17064064010435</v>
      </c>
      <c r="C270">
        <v>247.08239864602683</v>
      </c>
      <c r="D270">
        <v>244.47056189137015</v>
      </c>
      <c r="E270">
        <v>293.38445070081895</v>
      </c>
      <c r="F270">
        <v>259.16955698137571</v>
      </c>
      <c r="G270">
        <v>259.05087777666284</v>
      </c>
      <c r="H270">
        <v>270.22751811126722</v>
      </c>
      <c r="I270">
        <v>310.47353881206845</v>
      </c>
      <c r="J270">
        <v>311.77068822689944</v>
      </c>
      <c r="K270">
        <v>333.10152114115948</v>
      </c>
      <c r="L270">
        <v>416.76899494782947</v>
      </c>
    </row>
    <row r="271" spans="1:12" x14ac:dyDescent="0.25">
      <c r="A271">
        <v>229.66236205038584</v>
      </c>
      <c r="B271">
        <v>255.67781366881337</v>
      </c>
      <c r="C271">
        <v>232.40384027345982</v>
      </c>
      <c r="D271">
        <v>241.06426833057887</v>
      </c>
      <c r="E271">
        <v>277.89833822225467</v>
      </c>
      <c r="F271">
        <v>237.73544842820991</v>
      </c>
      <c r="G271">
        <v>258.45405211264392</v>
      </c>
      <c r="H271">
        <v>273.5172685025463</v>
      </c>
      <c r="I271">
        <v>302.02804606384814</v>
      </c>
      <c r="J271">
        <v>321.45101822338131</v>
      </c>
      <c r="K271">
        <v>321.49020202146278</v>
      </c>
      <c r="L271">
        <v>391.82276425571683</v>
      </c>
    </row>
    <row r="272" spans="1:12" x14ac:dyDescent="0.25">
      <c r="A272">
        <v>256.68555905339485</v>
      </c>
      <c r="B272">
        <v>264.31299884091612</v>
      </c>
      <c r="C272">
        <v>224.80568132241967</v>
      </c>
      <c r="D272">
        <v>237.40453365824578</v>
      </c>
      <c r="E272">
        <v>289.06282009944357</v>
      </c>
      <c r="F272">
        <v>241.24304729380731</v>
      </c>
      <c r="G272">
        <v>262.23365106793585</v>
      </c>
      <c r="H272">
        <v>256.07177314729165</v>
      </c>
      <c r="I272">
        <v>309.1426708233061</v>
      </c>
      <c r="J272">
        <v>297.16070954866939</v>
      </c>
      <c r="K272">
        <v>313.07128121149407</v>
      </c>
      <c r="L272">
        <v>359.90973663438791</v>
      </c>
    </row>
    <row r="273" spans="1:12" x14ac:dyDescent="0.25">
      <c r="A273">
        <v>244.40101126890983</v>
      </c>
      <c r="B273">
        <v>278.00170291284235</v>
      </c>
      <c r="C273">
        <v>269.0532359274406</v>
      </c>
      <c r="D273">
        <v>233.64248095969592</v>
      </c>
      <c r="E273">
        <v>287.18962903903383</v>
      </c>
      <c r="F273">
        <v>271.83920523671969</v>
      </c>
      <c r="G273">
        <v>263.9025586554007</v>
      </c>
      <c r="H273">
        <v>278.28809652520789</v>
      </c>
      <c r="I273">
        <v>306.13356835440692</v>
      </c>
      <c r="J273">
        <v>313.04635946077838</v>
      </c>
      <c r="K273">
        <v>331.83257258881099</v>
      </c>
      <c r="L273">
        <v>391.93958001314132</v>
      </c>
    </row>
    <row r="274" spans="1:12" x14ac:dyDescent="0.25">
      <c r="A274">
        <v>247.5112418899578</v>
      </c>
      <c r="B274">
        <v>258.29743512754158</v>
      </c>
      <c r="C274">
        <v>242.60797427259615</v>
      </c>
      <c r="D274">
        <v>242.18388471032779</v>
      </c>
      <c r="E274">
        <v>264.54249640690148</v>
      </c>
      <c r="F274">
        <v>244.27037474329612</v>
      </c>
      <c r="G274">
        <v>256.44281648435623</v>
      </c>
      <c r="H274">
        <v>256.89872993936467</v>
      </c>
      <c r="I274">
        <v>291.8259110093021</v>
      </c>
      <c r="J274">
        <v>300.06179970222803</v>
      </c>
      <c r="K274">
        <v>319.50091093780429</v>
      </c>
      <c r="L274">
        <v>371.42254366994314</v>
      </c>
    </row>
    <row r="275" spans="1:12" x14ac:dyDescent="0.25">
      <c r="A275">
        <v>256.83286658302654</v>
      </c>
      <c r="B275">
        <v>271.89598238136415</v>
      </c>
      <c r="C275">
        <v>240.93582690188771</v>
      </c>
      <c r="D275">
        <v>240.23472286220004</v>
      </c>
      <c r="E275">
        <v>278.04043649235911</v>
      </c>
      <c r="F275">
        <v>249.66226234202335</v>
      </c>
      <c r="G275">
        <v>271.74675037548678</v>
      </c>
      <c r="H275">
        <v>264.93061232511661</v>
      </c>
      <c r="I275">
        <v>287.66130247037825</v>
      </c>
      <c r="J275">
        <v>287.50565741096705</v>
      </c>
      <c r="K275">
        <v>302.68478920793723</v>
      </c>
      <c r="L275">
        <v>348.43961928821068</v>
      </c>
    </row>
    <row r="276" spans="1:12" x14ac:dyDescent="0.25">
      <c r="A276">
        <v>242.74456113247498</v>
      </c>
      <c r="B276">
        <v>271.4831445892404</v>
      </c>
      <c r="C276">
        <v>237.99284563159279</v>
      </c>
      <c r="D276">
        <v>242.35842113206982</v>
      </c>
      <c r="E276">
        <v>272.13523761622861</v>
      </c>
      <c r="F276">
        <v>267.17328207746476</v>
      </c>
      <c r="G276">
        <v>267.60842807305005</v>
      </c>
      <c r="H276">
        <v>286.75949588070591</v>
      </c>
      <c r="I276">
        <v>300.98065025564256</v>
      </c>
      <c r="J276">
        <v>322.95096243097208</v>
      </c>
      <c r="K276">
        <v>339.60686762590996</v>
      </c>
      <c r="L276">
        <v>403.48189998340098</v>
      </c>
    </row>
    <row r="277" spans="1:12" x14ac:dyDescent="0.25">
      <c r="A277">
        <v>249.60403388701326</v>
      </c>
      <c r="B277">
        <v>255.12760801982026</v>
      </c>
      <c r="C277">
        <v>258.77554338901859</v>
      </c>
      <c r="D277">
        <v>260.83008857004899</v>
      </c>
      <c r="E277">
        <v>287.40322257604851</v>
      </c>
      <c r="F277">
        <v>249.94483014165576</v>
      </c>
      <c r="G277">
        <v>267.16599314145071</v>
      </c>
      <c r="H277">
        <v>275.41668808091703</v>
      </c>
      <c r="I277">
        <v>304.50838376056208</v>
      </c>
      <c r="J277">
        <v>313.88827886285395</v>
      </c>
      <c r="K277">
        <v>331.54786280510035</v>
      </c>
      <c r="L277">
        <v>401.68441667635977</v>
      </c>
    </row>
    <row r="278" spans="1:12" x14ac:dyDescent="0.25">
      <c r="A278">
        <v>255.31844084719336</v>
      </c>
      <c r="B278">
        <v>274.92941877349244</v>
      </c>
      <c r="C278">
        <v>251.78581502718848</v>
      </c>
      <c r="D278">
        <v>258.32155945615114</v>
      </c>
      <c r="E278">
        <v>300.74790710699199</v>
      </c>
      <c r="F278">
        <v>261.57437645693608</v>
      </c>
      <c r="G278">
        <v>282.68516834775915</v>
      </c>
      <c r="H278">
        <v>271.6256990863605</v>
      </c>
      <c r="I278">
        <v>308.13101113529683</v>
      </c>
      <c r="J278">
        <v>339.95300568840935</v>
      </c>
      <c r="K278">
        <v>351.76146991673198</v>
      </c>
      <c r="L278">
        <v>427.46680384112693</v>
      </c>
    </row>
    <row r="279" spans="1:12" x14ac:dyDescent="0.25">
      <c r="A279">
        <v>247.65620850678707</v>
      </c>
      <c r="B279">
        <v>261.22287679526204</v>
      </c>
      <c r="C279">
        <v>253.85747340765772</v>
      </c>
      <c r="D279">
        <v>232.22047841193239</v>
      </c>
      <c r="E279">
        <v>289.84944722650368</v>
      </c>
      <c r="F279">
        <v>258.53606740735017</v>
      </c>
      <c r="G279">
        <v>242.27092136331785</v>
      </c>
      <c r="H279">
        <v>261.35341908749132</v>
      </c>
      <c r="I279">
        <v>302.16340451342836</v>
      </c>
      <c r="J279">
        <v>286.02809905095683</v>
      </c>
      <c r="K279">
        <v>301.83045094976063</v>
      </c>
      <c r="L279">
        <v>359.91516592465109</v>
      </c>
    </row>
    <row r="280" spans="1:12" x14ac:dyDescent="0.25">
      <c r="A280">
        <v>230.97476165967515</v>
      </c>
      <c r="B280">
        <v>237.25510407059701</v>
      </c>
      <c r="C280">
        <v>220.54675187506649</v>
      </c>
      <c r="D280">
        <v>200.36685355770851</v>
      </c>
      <c r="E280">
        <v>232.39545016934716</v>
      </c>
      <c r="F280">
        <v>213.60908841343056</v>
      </c>
      <c r="G280">
        <v>202.3986182122826</v>
      </c>
      <c r="H280">
        <v>213.10929999845973</v>
      </c>
      <c r="I280">
        <v>236.593306672258</v>
      </c>
      <c r="J280">
        <v>219.70915399896617</v>
      </c>
      <c r="K280">
        <v>231.56999586728807</v>
      </c>
      <c r="L280">
        <v>261.19571689808225</v>
      </c>
    </row>
    <row r="281" spans="1:12" x14ac:dyDescent="0.25">
      <c r="A281">
        <v>254.23773355740627</v>
      </c>
      <c r="B281">
        <v>252.77835709733901</v>
      </c>
      <c r="C281">
        <v>232.53517845652539</v>
      </c>
      <c r="D281">
        <v>226.20252348784808</v>
      </c>
      <c r="E281">
        <v>275.60107404319143</v>
      </c>
      <c r="F281">
        <v>232.17821929390166</v>
      </c>
      <c r="G281">
        <v>249.29560753726733</v>
      </c>
      <c r="H281">
        <v>254.46630420792783</v>
      </c>
      <c r="I281">
        <v>278.00644373553536</v>
      </c>
      <c r="J281">
        <v>305.49071023512948</v>
      </c>
      <c r="K281">
        <v>315.51797789005099</v>
      </c>
      <c r="L281">
        <v>366.54954155425372</v>
      </c>
    </row>
    <row r="282" spans="1:12" x14ac:dyDescent="0.25">
      <c r="A282">
        <v>268.29426606601589</v>
      </c>
      <c r="B282">
        <v>276.12325582540564</v>
      </c>
      <c r="C282">
        <v>250.463387115318</v>
      </c>
      <c r="D282">
        <v>255.27407222060592</v>
      </c>
      <c r="E282">
        <v>287.61117127474949</v>
      </c>
      <c r="F282">
        <v>268.07976325261404</v>
      </c>
      <c r="G282">
        <v>277.50742849673054</v>
      </c>
      <c r="H282">
        <v>281.46870672731728</v>
      </c>
      <c r="I282">
        <v>312.60066336692211</v>
      </c>
      <c r="J282">
        <v>336.13647681236682</v>
      </c>
      <c r="K282">
        <v>339.69976260832567</v>
      </c>
      <c r="L282">
        <v>397.18616464077462</v>
      </c>
    </row>
    <row r="283" spans="1:12" x14ac:dyDescent="0.25">
      <c r="A283">
        <v>232.29389793738437</v>
      </c>
      <c r="B283">
        <v>262.30854400473783</v>
      </c>
      <c r="C283">
        <v>232.16903969761097</v>
      </c>
      <c r="D283">
        <v>216.45810337963164</v>
      </c>
      <c r="E283">
        <v>271.62386709824449</v>
      </c>
      <c r="F283">
        <v>233.01167263363592</v>
      </c>
      <c r="G283">
        <v>234.31642825323158</v>
      </c>
      <c r="H283">
        <v>246.47702645821613</v>
      </c>
      <c r="I283">
        <v>264.29286255490319</v>
      </c>
      <c r="J283">
        <v>274.68342090602886</v>
      </c>
      <c r="K283">
        <v>298.35519292643147</v>
      </c>
      <c r="L283">
        <v>322.06599852339968</v>
      </c>
    </row>
    <row r="284" spans="1:12" x14ac:dyDescent="0.25">
      <c r="A284">
        <v>235.12018124030416</v>
      </c>
      <c r="B284">
        <v>259.13230787115208</v>
      </c>
      <c r="C284">
        <v>238.95464940765245</v>
      </c>
      <c r="D284">
        <v>227.26890653285636</v>
      </c>
      <c r="E284">
        <v>274.06616902204092</v>
      </c>
      <c r="F284">
        <v>245.83133139654586</v>
      </c>
      <c r="G284">
        <v>272.54243709458945</v>
      </c>
      <c r="H284">
        <v>263.14673108655046</v>
      </c>
      <c r="I284">
        <v>289.69590480979565</v>
      </c>
      <c r="J284">
        <v>289.00227849995883</v>
      </c>
      <c r="K284">
        <v>301.80391043573258</v>
      </c>
      <c r="L284">
        <v>367.07005999204046</v>
      </c>
    </row>
    <row r="285" spans="1:12" x14ac:dyDescent="0.25">
      <c r="A285">
        <v>249.34389494614572</v>
      </c>
      <c r="B285">
        <v>266.72671327266119</v>
      </c>
      <c r="C285">
        <v>240.43492592870885</v>
      </c>
      <c r="D285">
        <v>232.05440701647356</v>
      </c>
      <c r="E285">
        <v>287.42611041956138</v>
      </c>
      <c r="F285">
        <v>251.47465192363015</v>
      </c>
      <c r="G285">
        <v>257.0812488202539</v>
      </c>
      <c r="H285">
        <v>264.44078632803831</v>
      </c>
      <c r="I285">
        <v>295.58558995830367</v>
      </c>
      <c r="J285">
        <v>305.92203181624507</v>
      </c>
      <c r="K285">
        <v>304.7356169259017</v>
      </c>
      <c r="L285">
        <v>376.97497201130176</v>
      </c>
    </row>
    <row r="286" spans="1:12" x14ac:dyDescent="0.25">
      <c r="A286">
        <v>253.02481717370244</v>
      </c>
      <c r="B286">
        <v>260.26359326930668</v>
      </c>
      <c r="C286">
        <v>254.02717349507458</v>
      </c>
      <c r="D286">
        <v>258.1628922850195</v>
      </c>
      <c r="E286">
        <v>281.90634547662648</v>
      </c>
      <c r="F286">
        <v>259.39908264809566</v>
      </c>
      <c r="G286">
        <v>267.77857656775757</v>
      </c>
      <c r="H286">
        <v>268.75799293196923</v>
      </c>
      <c r="I286">
        <v>301.61851366685124</v>
      </c>
      <c r="J286">
        <v>312.41694521361569</v>
      </c>
      <c r="K286">
        <v>337.8603630241027</v>
      </c>
      <c r="L286">
        <v>397.88694264769225</v>
      </c>
    </row>
    <row r="287" spans="1:12" x14ac:dyDescent="0.25">
      <c r="A287">
        <v>240.49321017609827</v>
      </c>
      <c r="B287">
        <v>268.61047416369257</v>
      </c>
      <c r="C287">
        <v>254.81268314022978</v>
      </c>
      <c r="D287">
        <v>248.32085647487131</v>
      </c>
      <c r="E287">
        <v>305.74089237977813</v>
      </c>
      <c r="F287">
        <v>258.62902511566813</v>
      </c>
      <c r="G287">
        <v>281.51566875868485</v>
      </c>
      <c r="H287">
        <v>265.1932845814095</v>
      </c>
      <c r="I287">
        <v>287.32756428034156</v>
      </c>
      <c r="J287">
        <v>313.63226765954539</v>
      </c>
      <c r="K287">
        <v>324.1674364342324</v>
      </c>
      <c r="L287">
        <v>361.14894258895663</v>
      </c>
    </row>
    <row r="288" spans="1:12" x14ac:dyDescent="0.25">
      <c r="A288">
        <v>223.96515837830219</v>
      </c>
      <c r="B288">
        <v>254.02146059715702</v>
      </c>
      <c r="C288">
        <v>217.61731189655112</v>
      </c>
      <c r="D288">
        <v>212.71948474838206</v>
      </c>
      <c r="E288">
        <v>243.0295005138266</v>
      </c>
      <c r="F288">
        <v>215.43225951790589</v>
      </c>
      <c r="G288">
        <v>226.74096423658548</v>
      </c>
      <c r="H288">
        <v>225.56058320283503</v>
      </c>
      <c r="I288">
        <v>250.95755518958484</v>
      </c>
      <c r="J288">
        <v>256.34228740461481</v>
      </c>
      <c r="K288">
        <v>250.60750013262231</v>
      </c>
      <c r="L288">
        <v>312.04736908374633</v>
      </c>
    </row>
    <row r="289" spans="1:12" x14ac:dyDescent="0.25">
      <c r="A289">
        <v>257.16677812553661</v>
      </c>
      <c r="B289">
        <v>266.28008019769624</v>
      </c>
      <c r="C289">
        <v>270.76319260572774</v>
      </c>
      <c r="D289">
        <v>238.21067785063477</v>
      </c>
      <c r="E289">
        <v>276.62193176910876</v>
      </c>
      <c r="F289">
        <v>263.94456059864717</v>
      </c>
      <c r="G289">
        <v>257.23701977902829</v>
      </c>
      <c r="H289">
        <v>273.83625731175391</v>
      </c>
      <c r="I289">
        <v>308.86028324613989</v>
      </c>
      <c r="J289">
        <v>327.17321272511492</v>
      </c>
      <c r="K289">
        <v>332.52288677565684</v>
      </c>
      <c r="L289">
        <v>402.80197375489888</v>
      </c>
    </row>
    <row r="290" spans="1:12" x14ac:dyDescent="0.25">
      <c r="A290">
        <v>242.81420641614946</v>
      </c>
      <c r="B290">
        <v>262.06932397643004</v>
      </c>
      <c r="C290">
        <v>221.97764134074657</v>
      </c>
      <c r="D290">
        <v>241.20349992359553</v>
      </c>
      <c r="E290">
        <v>270.90092341558704</v>
      </c>
      <c r="F290">
        <v>234.35178087333043</v>
      </c>
      <c r="G290">
        <v>252.8161916871378</v>
      </c>
      <c r="H290">
        <v>256.36557559997374</v>
      </c>
      <c r="I290">
        <v>275.83268793206202</v>
      </c>
      <c r="J290">
        <v>268.12446981464296</v>
      </c>
      <c r="K290">
        <v>302.09409619574205</v>
      </c>
      <c r="L290">
        <v>335.67038437632061</v>
      </c>
    </row>
    <row r="291" spans="1:12" x14ac:dyDescent="0.25">
      <c r="A291">
        <v>230.02895201167681</v>
      </c>
      <c r="B291">
        <v>271.79002444997121</v>
      </c>
      <c r="C291">
        <v>262.12719874371123</v>
      </c>
      <c r="D291">
        <v>267.75567926062689</v>
      </c>
      <c r="E291">
        <v>297.36259130315125</v>
      </c>
      <c r="F291">
        <v>255.40263271459673</v>
      </c>
      <c r="G291">
        <v>283.38299450520799</v>
      </c>
      <c r="H291">
        <v>284.37089346480104</v>
      </c>
      <c r="I291">
        <v>317.15774024749635</v>
      </c>
      <c r="J291">
        <v>329.8399056905406</v>
      </c>
      <c r="K291">
        <v>354.64795604569463</v>
      </c>
      <c r="L291">
        <v>416.5595445597242</v>
      </c>
    </row>
    <row r="292" spans="1:12" x14ac:dyDescent="0.25">
      <c r="A292">
        <v>261.25620552206658</v>
      </c>
      <c r="B292">
        <v>281.33836886203886</v>
      </c>
      <c r="C292">
        <v>247.7133226320631</v>
      </c>
      <c r="D292">
        <v>255.65336202723466</v>
      </c>
      <c r="E292">
        <v>310.75214985645977</v>
      </c>
      <c r="F292">
        <v>266.84529361152755</v>
      </c>
      <c r="G292">
        <v>276.87555289410534</v>
      </c>
      <c r="H292">
        <v>294.51630956536599</v>
      </c>
      <c r="I292">
        <v>304.08931659763044</v>
      </c>
      <c r="J292">
        <v>328.12106982999364</v>
      </c>
      <c r="K292">
        <v>339.02655953572599</v>
      </c>
      <c r="L292">
        <v>394.07747034538789</v>
      </c>
    </row>
    <row r="293" spans="1:12" x14ac:dyDescent="0.25">
      <c r="A293">
        <v>237.68166657466321</v>
      </c>
      <c r="B293">
        <v>252.82278822098161</v>
      </c>
      <c r="C293">
        <v>241.20356877242267</v>
      </c>
      <c r="D293">
        <v>240.58070981763368</v>
      </c>
      <c r="E293">
        <v>276.68797911481522</v>
      </c>
      <c r="F293">
        <v>236.15328415206102</v>
      </c>
      <c r="G293">
        <v>242.65153403549465</v>
      </c>
      <c r="H293">
        <v>239.74845223066194</v>
      </c>
      <c r="I293">
        <v>259.56076117389642</v>
      </c>
      <c r="J293">
        <v>287.62208652783391</v>
      </c>
      <c r="K293">
        <v>292.38818498212947</v>
      </c>
      <c r="L293">
        <v>345.90823911874867</v>
      </c>
    </row>
    <row r="294" spans="1:12" x14ac:dyDescent="0.25">
      <c r="A294">
        <v>242.36235649705731</v>
      </c>
      <c r="B294">
        <v>259.60947099971571</v>
      </c>
      <c r="C294">
        <v>242.50734763458973</v>
      </c>
      <c r="D294">
        <v>245.92119356070182</v>
      </c>
      <c r="E294">
        <v>281.8264462097444</v>
      </c>
      <c r="F294">
        <v>246.03555678387221</v>
      </c>
      <c r="G294">
        <v>225.97617260145464</v>
      </c>
      <c r="H294">
        <v>252.22109274462937</v>
      </c>
      <c r="I294">
        <v>249.84656865532088</v>
      </c>
      <c r="J294">
        <v>285.35841654119713</v>
      </c>
      <c r="K294">
        <v>273.44036951162917</v>
      </c>
      <c r="L294">
        <v>325.13032192195323</v>
      </c>
    </row>
    <row r="295" spans="1:12" x14ac:dyDescent="0.25">
      <c r="A295">
        <v>224.9608921782</v>
      </c>
      <c r="B295">
        <v>251.40870760512095</v>
      </c>
      <c r="C295">
        <v>234.84871410645923</v>
      </c>
      <c r="D295">
        <v>231.45025942066079</v>
      </c>
      <c r="E295">
        <v>256.30457398306487</v>
      </c>
      <c r="F295">
        <v>230.63073339755496</v>
      </c>
      <c r="G295">
        <v>228.19789703332361</v>
      </c>
      <c r="H295">
        <v>243.71013690752122</v>
      </c>
      <c r="I295">
        <v>267.59354984171762</v>
      </c>
      <c r="J295">
        <v>274.8554645780776</v>
      </c>
      <c r="K295">
        <v>276.99445209632182</v>
      </c>
      <c r="L295">
        <v>325.35038843112807</v>
      </c>
    </row>
    <row r="296" spans="1:12" x14ac:dyDescent="0.25">
      <c r="A296">
        <v>239.40945328560593</v>
      </c>
      <c r="B296">
        <v>266.15164685086791</v>
      </c>
      <c r="C296">
        <v>238.223342062271</v>
      </c>
      <c r="D296">
        <v>234.80196656224587</v>
      </c>
      <c r="E296">
        <v>280.28044885575639</v>
      </c>
      <c r="F296">
        <v>246.61867798946625</v>
      </c>
      <c r="G296">
        <v>250.07159599133237</v>
      </c>
      <c r="H296">
        <v>244.36545799926071</v>
      </c>
      <c r="I296">
        <v>281.95149593199193</v>
      </c>
      <c r="J296">
        <v>290.41557094921694</v>
      </c>
      <c r="K296">
        <v>291.5729356070716</v>
      </c>
      <c r="L296">
        <v>353.87327381891765</v>
      </c>
    </row>
    <row r="297" spans="1:12" x14ac:dyDescent="0.25">
      <c r="A297">
        <v>261.32062622022318</v>
      </c>
      <c r="B297">
        <v>273.92687096494467</v>
      </c>
      <c r="C297">
        <v>265.65247228079409</v>
      </c>
      <c r="D297">
        <v>256.71148021904509</v>
      </c>
      <c r="E297">
        <v>314.11639861445974</v>
      </c>
      <c r="F297">
        <v>274.36281932807327</v>
      </c>
      <c r="G297">
        <v>305.82665315264529</v>
      </c>
      <c r="H297">
        <v>296.32784077721817</v>
      </c>
      <c r="I297">
        <v>311.22400895802593</v>
      </c>
      <c r="J297">
        <v>337.93389285879124</v>
      </c>
      <c r="K297">
        <v>369.09826276157963</v>
      </c>
      <c r="L297">
        <v>433.78872632859475</v>
      </c>
    </row>
    <row r="298" spans="1:12" x14ac:dyDescent="0.25">
      <c r="A298">
        <v>225.84669010824871</v>
      </c>
      <c r="B298">
        <v>254.87421320340653</v>
      </c>
      <c r="C298">
        <v>230.74047348003504</v>
      </c>
      <c r="D298">
        <v>243.91436322937716</v>
      </c>
      <c r="E298">
        <v>272.39968384314727</v>
      </c>
      <c r="F298">
        <v>242.94976741120664</v>
      </c>
      <c r="G298">
        <v>246.42026136248489</v>
      </c>
      <c r="H298">
        <v>255.95213720468345</v>
      </c>
      <c r="I298">
        <v>267.1825582420725</v>
      </c>
      <c r="J298">
        <v>297.13361580585075</v>
      </c>
      <c r="K298">
        <v>309.70693129208058</v>
      </c>
      <c r="L298">
        <v>363.62272113717671</v>
      </c>
    </row>
    <row r="299" spans="1:12" x14ac:dyDescent="0.25">
      <c r="A299">
        <v>243.43543360819513</v>
      </c>
      <c r="B299">
        <v>271.84135725259648</v>
      </c>
      <c r="C299">
        <v>233.83754570978681</v>
      </c>
      <c r="D299">
        <v>207.70198785295844</v>
      </c>
      <c r="E299">
        <v>271.28123587240435</v>
      </c>
      <c r="F299">
        <v>230.83533631256111</v>
      </c>
      <c r="G299">
        <v>236.41237364605459</v>
      </c>
      <c r="H299">
        <v>238.98823905842525</v>
      </c>
      <c r="I299">
        <v>282.36010421609609</v>
      </c>
      <c r="J299">
        <v>276.06356135612663</v>
      </c>
      <c r="K299">
        <v>289.65724149389479</v>
      </c>
      <c r="L299">
        <v>330.31764355594828</v>
      </c>
    </row>
    <row r="300" spans="1:12" x14ac:dyDescent="0.25">
      <c r="A300">
        <v>236.69969509553906</v>
      </c>
      <c r="B300">
        <v>253.20959986567135</v>
      </c>
      <c r="C300">
        <v>231.40481533389215</v>
      </c>
      <c r="D300">
        <v>221.49571245864939</v>
      </c>
      <c r="E300">
        <v>265.85098440770986</v>
      </c>
      <c r="F300">
        <v>227.09788351694584</v>
      </c>
      <c r="G300">
        <v>247.24699951424626</v>
      </c>
      <c r="H300">
        <v>254.24279612353553</v>
      </c>
      <c r="I300">
        <v>266.60891703925603</v>
      </c>
      <c r="J300">
        <v>261.90604206642575</v>
      </c>
      <c r="K300">
        <v>261.24029145913664</v>
      </c>
      <c r="L300">
        <v>325.80952315527304</v>
      </c>
    </row>
    <row r="301" spans="1:12" x14ac:dyDescent="0.25">
      <c r="A301">
        <v>256.40085870904693</v>
      </c>
      <c r="B301">
        <v>275.55201681158593</v>
      </c>
      <c r="C301">
        <v>256.43147393791139</v>
      </c>
      <c r="D301">
        <v>247.4166733288121</v>
      </c>
      <c r="E301">
        <v>298.70952785106033</v>
      </c>
      <c r="F301">
        <v>260.93745963748518</v>
      </c>
      <c r="G301">
        <v>269.54494794073952</v>
      </c>
      <c r="H301">
        <v>291.39290489747032</v>
      </c>
      <c r="I301">
        <v>304.61365414496572</v>
      </c>
      <c r="J301">
        <v>325.18177571636318</v>
      </c>
      <c r="K301">
        <v>349.36328423649468</v>
      </c>
      <c r="L301">
        <v>401.35238990978092</v>
      </c>
    </row>
    <row r="302" spans="1:12" x14ac:dyDescent="0.25">
      <c r="A302">
        <v>239.73076679632635</v>
      </c>
      <c r="B302">
        <v>281.25126903445079</v>
      </c>
      <c r="C302">
        <v>265.5735513811992</v>
      </c>
      <c r="D302">
        <v>260.15437538516227</v>
      </c>
      <c r="E302">
        <v>300.97511203732449</v>
      </c>
      <c r="F302">
        <v>270.29815191417691</v>
      </c>
      <c r="G302">
        <v>275.28446301247538</v>
      </c>
      <c r="H302">
        <v>292.04837562747923</v>
      </c>
      <c r="I302">
        <v>316.81171561220674</v>
      </c>
      <c r="J302">
        <v>336.13032756315118</v>
      </c>
      <c r="K302">
        <v>353.80059622970498</v>
      </c>
      <c r="L302">
        <v>410.35870727813068</v>
      </c>
    </row>
    <row r="303" spans="1:12" x14ac:dyDescent="0.25">
      <c r="A303">
        <v>238.30575313092484</v>
      </c>
      <c r="B303">
        <v>252.65863341297407</v>
      </c>
      <c r="C303">
        <v>241.35237096928026</v>
      </c>
      <c r="D303">
        <v>222.63734431509536</v>
      </c>
      <c r="E303">
        <v>264.21306520398014</v>
      </c>
      <c r="F303">
        <v>226.36813063463288</v>
      </c>
      <c r="G303">
        <v>228.0261406708741</v>
      </c>
      <c r="H303">
        <v>230.94518384510869</v>
      </c>
      <c r="I303">
        <v>248.94569890789572</v>
      </c>
      <c r="J303">
        <v>272.49608465820182</v>
      </c>
      <c r="K303">
        <v>263.07574503189267</v>
      </c>
      <c r="L303">
        <v>328.47790838628521</v>
      </c>
    </row>
    <row r="304" spans="1:12" x14ac:dyDescent="0.25">
      <c r="A304">
        <v>254.77461855183728</v>
      </c>
      <c r="B304">
        <v>272.28177685687729</v>
      </c>
      <c r="C304">
        <v>241.20863047889384</v>
      </c>
      <c r="D304">
        <v>247.59747096780697</v>
      </c>
      <c r="E304">
        <v>312.48302901352378</v>
      </c>
      <c r="F304">
        <v>252.48660421189018</v>
      </c>
      <c r="G304">
        <v>281.066367708889</v>
      </c>
      <c r="H304">
        <v>266.73057519019795</v>
      </c>
      <c r="I304">
        <v>314.70704064515007</v>
      </c>
      <c r="J304">
        <v>307.66881420074168</v>
      </c>
      <c r="K304">
        <v>349.01450587687975</v>
      </c>
      <c r="L304">
        <v>396.80075036942463</v>
      </c>
    </row>
    <row r="305" spans="1:12" x14ac:dyDescent="0.25">
      <c r="A305">
        <v>233.87339024185698</v>
      </c>
      <c r="B305">
        <v>230.84279514091327</v>
      </c>
      <c r="C305">
        <v>210.47071735444385</v>
      </c>
      <c r="D305">
        <v>215.47816817215659</v>
      </c>
      <c r="E305">
        <v>257.69058761815307</v>
      </c>
      <c r="F305">
        <v>225.01726329461249</v>
      </c>
      <c r="G305">
        <v>215.97765485330694</v>
      </c>
      <c r="H305">
        <v>232.07751961735559</v>
      </c>
      <c r="I305">
        <v>236.10597680468757</v>
      </c>
      <c r="J305">
        <v>249.00142372045019</v>
      </c>
      <c r="K305">
        <v>245.09321382702652</v>
      </c>
      <c r="L305">
        <v>287.55554736667204</v>
      </c>
    </row>
    <row r="306" spans="1:12" x14ac:dyDescent="0.25">
      <c r="A306">
        <v>241.31737882379551</v>
      </c>
      <c r="B306">
        <v>255.14584946013662</v>
      </c>
      <c r="C306">
        <v>210.09074505064061</v>
      </c>
      <c r="D306">
        <v>223.04427277962284</v>
      </c>
      <c r="E306">
        <v>262.94074947743559</v>
      </c>
      <c r="F306">
        <v>230.35803357328263</v>
      </c>
      <c r="G306">
        <v>233.13050333788988</v>
      </c>
      <c r="H306">
        <v>248.90698459055392</v>
      </c>
      <c r="I306">
        <v>272.74917607309817</v>
      </c>
      <c r="J306">
        <v>267.87308956904468</v>
      </c>
      <c r="K306">
        <v>293.53748973102722</v>
      </c>
      <c r="L306">
        <v>332.89373636602528</v>
      </c>
    </row>
    <row r="307" spans="1:12" x14ac:dyDescent="0.25">
      <c r="A307">
        <v>250.67270161084949</v>
      </c>
      <c r="B307">
        <v>261.91185344861947</v>
      </c>
      <c r="C307">
        <v>240.76890024655586</v>
      </c>
      <c r="D307">
        <v>250.71764872700783</v>
      </c>
      <c r="E307">
        <v>294.84077106476099</v>
      </c>
      <c r="F307">
        <v>244.45336265542656</v>
      </c>
      <c r="G307">
        <v>273.70486458613743</v>
      </c>
      <c r="H307">
        <v>277.56796760964261</v>
      </c>
      <c r="I307">
        <v>294.18538651696304</v>
      </c>
      <c r="J307">
        <v>312.11884226449564</v>
      </c>
      <c r="K307">
        <v>336.79014401988718</v>
      </c>
      <c r="L307">
        <v>373.58461397012206</v>
      </c>
    </row>
    <row r="308" spans="1:12" x14ac:dyDescent="0.25">
      <c r="A308">
        <v>248.27867758017305</v>
      </c>
      <c r="B308">
        <v>251.23990253415738</v>
      </c>
      <c r="C308">
        <v>250.10556145517512</v>
      </c>
      <c r="D308">
        <v>239.20773190214007</v>
      </c>
      <c r="E308">
        <v>261.36033316081057</v>
      </c>
      <c r="F308">
        <v>242.08221925948646</v>
      </c>
      <c r="G308">
        <v>261.66836513555688</v>
      </c>
      <c r="H308">
        <v>248.95655349904152</v>
      </c>
      <c r="I308">
        <v>273.93082315860659</v>
      </c>
      <c r="J308">
        <v>302.73105736625348</v>
      </c>
      <c r="K308">
        <v>295.43333675583324</v>
      </c>
      <c r="L308">
        <v>355.38684057531242</v>
      </c>
    </row>
    <row r="309" spans="1:12" x14ac:dyDescent="0.25">
      <c r="A309">
        <v>229.30263093785169</v>
      </c>
      <c r="B309">
        <v>266.55212735597411</v>
      </c>
      <c r="C309">
        <v>232.59520700610281</v>
      </c>
      <c r="D309">
        <v>227.79195923645599</v>
      </c>
      <c r="E309">
        <v>268.01794917758821</v>
      </c>
      <c r="F309">
        <v>246.4164148335208</v>
      </c>
      <c r="G309">
        <v>247.59651976772497</v>
      </c>
      <c r="H309">
        <v>264.08266828339379</v>
      </c>
      <c r="I309">
        <v>303.10551033375225</v>
      </c>
      <c r="J309">
        <v>294.52474439589082</v>
      </c>
      <c r="K309">
        <v>317.99834459367963</v>
      </c>
      <c r="L309">
        <v>381.09438053903864</v>
      </c>
    </row>
    <row r="310" spans="1:12" x14ac:dyDescent="0.25">
      <c r="A310">
        <v>254.79448825189087</v>
      </c>
      <c r="B310">
        <v>262.5789735759754</v>
      </c>
      <c r="C310">
        <v>242.73037552488799</v>
      </c>
      <c r="D310">
        <v>239.90162652897379</v>
      </c>
      <c r="E310">
        <v>273.99932406098111</v>
      </c>
      <c r="F310">
        <v>251.25114513898382</v>
      </c>
      <c r="G310">
        <v>245.94228572564728</v>
      </c>
      <c r="H310">
        <v>245.05439475997719</v>
      </c>
      <c r="I310">
        <v>272.94845089665745</v>
      </c>
      <c r="J310">
        <v>296.52527823456222</v>
      </c>
      <c r="K310">
        <v>308.27712159687064</v>
      </c>
      <c r="L310">
        <v>347.7515469004349</v>
      </c>
    </row>
    <row r="311" spans="1:12" x14ac:dyDescent="0.25">
      <c r="A311">
        <v>257.70767741292389</v>
      </c>
      <c r="B311">
        <v>264.04487164212378</v>
      </c>
      <c r="C311">
        <v>256.20531018012622</v>
      </c>
      <c r="D311">
        <v>263.97921058568306</v>
      </c>
      <c r="E311">
        <v>300.25954751522806</v>
      </c>
      <c r="F311">
        <v>266.9707563542533</v>
      </c>
      <c r="G311">
        <v>279.17723881489394</v>
      </c>
      <c r="H311">
        <v>302.05178038668288</v>
      </c>
      <c r="I311">
        <v>316.64253649364741</v>
      </c>
      <c r="J311">
        <v>357.18948159903891</v>
      </c>
      <c r="K311">
        <v>367.22288254389872</v>
      </c>
      <c r="L311">
        <v>419.37359212804967</v>
      </c>
    </row>
    <row r="312" spans="1:12" x14ac:dyDescent="0.25">
      <c r="A312">
        <v>248.92894753731429</v>
      </c>
      <c r="B312">
        <v>284.75083733408212</v>
      </c>
      <c r="C312">
        <v>239.24001352815353</v>
      </c>
      <c r="D312">
        <v>248.49823782920748</v>
      </c>
      <c r="E312">
        <v>286.8374172880259</v>
      </c>
      <c r="F312">
        <v>242.79503472350069</v>
      </c>
      <c r="G312">
        <v>252.86099985863203</v>
      </c>
      <c r="H312">
        <v>259.51248258999016</v>
      </c>
      <c r="I312">
        <v>277.41986991238616</v>
      </c>
      <c r="J312">
        <v>297.39976242866499</v>
      </c>
      <c r="K312">
        <v>308.78827635590358</v>
      </c>
      <c r="L312">
        <v>363.85062238295808</v>
      </c>
    </row>
    <row r="313" spans="1:12" x14ac:dyDescent="0.25">
      <c r="A313">
        <v>253.57259764729673</v>
      </c>
      <c r="B313">
        <v>268.97564440908945</v>
      </c>
      <c r="C313">
        <v>248.94465129343752</v>
      </c>
      <c r="D313">
        <v>255.44383995759304</v>
      </c>
      <c r="E313">
        <v>293.36458557212245</v>
      </c>
      <c r="F313">
        <v>249.55707783027734</v>
      </c>
      <c r="G313">
        <v>268.71140179919121</v>
      </c>
      <c r="H313">
        <v>260.78095838383365</v>
      </c>
      <c r="I313">
        <v>292.53763559689571</v>
      </c>
      <c r="J313">
        <v>311.90641477618192</v>
      </c>
      <c r="K313">
        <v>321.97618804766853</v>
      </c>
      <c r="L313">
        <v>391.00173142054183</v>
      </c>
    </row>
    <row r="314" spans="1:12" x14ac:dyDescent="0.25">
      <c r="A314">
        <v>248.44995196254692</v>
      </c>
      <c r="B314">
        <v>264.54473361588799</v>
      </c>
      <c r="C314">
        <v>239.33724422595932</v>
      </c>
      <c r="D314">
        <v>254.03014316673534</v>
      </c>
      <c r="E314">
        <v>278.06409341600693</v>
      </c>
      <c r="F314">
        <v>250.75354770099523</v>
      </c>
      <c r="G314">
        <v>264.24639899468281</v>
      </c>
      <c r="H314">
        <v>269.21656281188285</v>
      </c>
      <c r="I314">
        <v>272.76256570220346</v>
      </c>
      <c r="J314">
        <v>318.39869070153617</v>
      </c>
      <c r="K314">
        <v>316.08777806696071</v>
      </c>
      <c r="L314">
        <v>367.73983329549088</v>
      </c>
    </row>
    <row r="315" spans="1:12" x14ac:dyDescent="0.25">
      <c r="A315">
        <v>241.49235990366006</v>
      </c>
      <c r="B315">
        <v>267.52120015697642</v>
      </c>
      <c r="C315">
        <v>252.3402015671189</v>
      </c>
      <c r="D315">
        <v>229.6457985754856</v>
      </c>
      <c r="E315">
        <v>280.69926519489854</v>
      </c>
      <c r="F315">
        <v>252.82345069821358</v>
      </c>
      <c r="G315">
        <v>267.46535733351789</v>
      </c>
      <c r="H315">
        <v>267.03089957793918</v>
      </c>
      <c r="I315">
        <v>297.98844947491932</v>
      </c>
      <c r="J315">
        <v>328.87406988060008</v>
      </c>
      <c r="K315">
        <v>321.81096813441371</v>
      </c>
      <c r="L315">
        <v>394.98646057000724</v>
      </c>
    </row>
    <row r="316" spans="1:12" x14ac:dyDescent="0.25">
      <c r="A316">
        <v>247.58256740468789</v>
      </c>
      <c r="B316">
        <v>258.01800374380571</v>
      </c>
      <c r="C316">
        <v>236.68350073594473</v>
      </c>
      <c r="D316">
        <v>227.74638231996346</v>
      </c>
      <c r="E316">
        <v>269.49398438361692</v>
      </c>
      <c r="F316">
        <v>212.93657276763818</v>
      </c>
      <c r="G316">
        <v>233.82350386734512</v>
      </c>
      <c r="H316">
        <v>240.98296344190882</v>
      </c>
      <c r="I316">
        <v>263.90709843669282</v>
      </c>
      <c r="J316">
        <v>267.17714223615081</v>
      </c>
      <c r="K316">
        <v>263.29877575882023</v>
      </c>
      <c r="L316">
        <v>333.97546900888443</v>
      </c>
    </row>
    <row r="317" spans="1:12" x14ac:dyDescent="0.25">
      <c r="A317">
        <v>245.86060761745239</v>
      </c>
      <c r="B317">
        <v>264.75939589973228</v>
      </c>
      <c r="C317">
        <v>259.76434714545172</v>
      </c>
      <c r="D317">
        <v>233.62452261156378</v>
      </c>
      <c r="E317">
        <v>274.54455998407354</v>
      </c>
      <c r="F317">
        <v>253.08239824567715</v>
      </c>
      <c r="G317">
        <v>266.0657989604087</v>
      </c>
      <c r="H317">
        <v>262.11362611718613</v>
      </c>
      <c r="I317">
        <v>284.16417085297945</v>
      </c>
      <c r="J317">
        <v>311.25163051849944</v>
      </c>
      <c r="K317">
        <v>329.74131144583384</v>
      </c>
      <c r="L317">
        <v>388.88632854169657</v>
      </c>
    </row>
    <row r="318" spans="1:12" x14ac:dyDescent="0.25">
      <c r="A318">
        <v>235.31740586920725</v>
      </c>
      <c r="B318">
        <v>232.6117132721794</v>
      </c>
      <c r="C318">
        <v>224.29129971293764</v>
      </c>
      <c r="D318">
        <v>222.59451465682545</v>
      </c>
      <c r="E318">
        <v>255.01864574047184</v>
      </c>
      <c r="F318">
        <v>231.73232508096675</v>
      </c>
      <c r="G318">
        <v>243.03665827928242</v>
      </c>
      <c r="H318">
        <v>222.38583375394307</v>
      </c>
      <c r="I318">
        <v>277.57727524627546</v>
      </c>
      <c r="J318">
        <v>273.61042460858812</v>
      </c>
      <c r="K318">
        <v>277.8160101875514</v>
      </c>
      <c r="L318">
        <v>322.7739545854717</v>
      </c>
    </row>
    <row r="319" spans="1:12" x14ac:dyDescent="0.25">
      <c r="A319">
        <v>250.6530577007882</v>
      </c>
      <c r="B319">
        <v>251.35550168742728</v>
      </c>
      <c r="C319">
        <v>238.76820194434833</v>
      </c>
      <c r="D319">
        <v>221.68011893235914</v>
      </c>
      <c r="E319">
        <v>253.46419744598384</v>
      </c>
      <c r="F319">
        <v>238.10567404198099</v>
      </c>
      <c r="G319">
        <v>244.89217783410587</v>
      </c>
      <c r="H319">
        <v>233.83382488582964</v>
      </c>
      <c r="I319">
        <v>257.02435742795598</v>
      </c>
      <c r="J319">
        <v>284.57126934425213</v>
      </c>
      <c r="K319">
        <v>260.6279788852047</v>
      </c>
      <c r="L319">
        <v>318.05824385009288</v>
      </c>
    </row>
    <row r="320" spans="1:12" x14ac:dyDescent="0.25">
      <c r="A320">
        <v>232.13536987433287</v>
      </c>
      <c r="B320">
        <v>262.09113426575919</v>
      </c>
      <c r="C320">
        <v>240.00744950419252</v>
      </c>
      <c r="D320">
        <v>235.85488460662643</v>
      </c>
      <c r="E320">
        <v>273.58950230094655</v>
      </c>
      <c r="F320">
        <v>239.65259306361389</v>
      </c>
      <c r="G320">
        <v>256.22519363543688</v>
      </c>
      <c r="H320">
        <v>233.29152322207463</v>
      </c>
      <c r="I320">
        <v>280.15535953184519</v>
      </c>
      <c r="J320">
        <v>289.3825300394044</v>
      </c>
      <c r="K320">
        <v>295.69178055774239</v>
      </c>
      <c r="L320">
        <v>355.05488131431514</v>
      </c>
    </row>
    <row r="321" spans="1:12" x14ac:dyDescent="0.25">
      <c r="A321">
        <v>228.3609533406399</v>
      </c>
      <c r="B321">
        <v>273.91269432371769</v>
      </c>
      <c r="C321">
        <v>233.87456410867168</v>
      </c>
      <c r="D321">
        <v>229.34101876138203</v>
      </c>
      <c r="E321">
        <v>272.09744357795455</v>
      </c>
      <c r="F321">
        <v>265.15380199961521</v>
      </c>
      <c r="G321">
        <v>252.05118348994381</v>
      </c>
      <c r="H321">
        <v>275.43152546831561</v>
      </c>
      <c r="I321">
        <v>291.45108368118787</v>
      </c>
      <c r="J321">
        <v>294.51550138894305</v>
      </c>
      <c r="K321">
        <v>309.21400800914802</v>
      </c>
      <c r="L321">
        <v>352.75309442428193</v>
      </c>
    </row>
    <row r="322" spans="1:12" x14ac:dyDescent="0.25">
      <c r="A322">
        <v>240.2956957440139</v>
      </c>
      <c r="B322">
        <v>261.15341727759284</v>
      </c>
      <c r="C322">
        <v>250.28766362138285</v>
      </c>
      <c r="D322">
        <v>241.57822680964568</v>
      </c>
      <c r="E322">
        <v>281.23829683827006</v>
      </c>
      <c r="F322">
        <v>242.90232132571853</v>
      </c>
      <c r="G322">
        <v>250.60179307451739</v>
      </c>
      <c r="H322">
        <v>278.06378611350789</v>
      </c>
      <c r="I322">
        <v>274.57163131427586</v>
      </c>
      <c r="J322">
        <v>277.35154643574771</v>
      </c>
      <c r="K322">
        <v>309.18916469835983</v>
      </c>
      <c r="L322">
        <v>369.80931268745354</v>
      </c>
    </row>
    <row r="323" spans="1:12" x14ac:dyDescent="0.25">
      <c r="A323">
        <v>261.88068350631141</v>
      </c>
      <c r="B323">
        <v>274.64765394364588</v>
      </c>
      <c r="C323">
        <v>270.26896633157287</v>
      </c>
      <c r="D323">
        <v>253.33968580614965</v>
      </c>
      <c r="E323">
        <v>307.08216370622694</v>
      </c>
      <c r="F323">
        <v>260.76266376521443</v>
      </c>
      <c r="G323">
        <v>276.87010801539816</v>
      </c>
      <c r="H323">
        <v>278.92584316559459</v>
      </c>
      <c r="I323">
        <v>326.62292239327593</v>
      </c>
      <c r="J323">
        <v>337.47120699015795</v>
      </c>
      <c r="K323">
        <v>347.575830197502</v>
      </c>
      <c r="L323">
        <v>412.98542931605789</v>
      </c>
    </row>
    <row r="324" spans="1:12" x14ac:dyDescent="0.25">
      <c r="A324">
        <v>242.43972275473863</v>
      </c>
      <c r="B324">
        <v>263.51427833222419</v>
      </c>
      <c r="C324">
        <v>254.45782534105987</v>
      </c>
      <c r="D324">
        <v>253.37037838502545</v>
      </c>
      <c r="E324">
        <v>288.48560548258655</v>
      </c>
      <c r="F324">
        <v>248.85186900537056</v>
      </c>
      <c r="G324">
        <v>271.29299294496531</v>
      </c>
      <c r="H324">
        <v>282.83140534168831</v>
      </c>
      <c r="I324">
        <v>303.6536939023768</v>
      </c>
      <c r="J324">
        <v>310.23335540698952</v>
      </c>
      <c r="K324">
        <v>326.07671539702068</v>
      </c>
      <c r="L324">
        <v>384.74465283411229</v>
      </c>
    </row>
    <row r="325" spans="1:12" x14ac:dyDescent="0.25">
      <c r="A325">
        <v>252.34808195440405</v>
      </c>
      <c r="B325">
        <v>276.53268771316505</v>
      </c>
      <c r="C325">
        <v>242.68046524329901</v>
      </c>
      <c r="D325">
        <v>240.4679404616935</v>
      </c>
      <c r="E325">
        <v>304.33223675168188</v>
      </c>
      <c r="F325">
        <v>259.48957451377964</v>
      </c>
      <c r="G325">
        <v>266.9402959565947</v>
      </c>
      <c r="H325">
        <v>276.0463450232894</v>
      </c>
      <c r="I325">
        <v>299.342097835331</v>
      </c>
      <c r="J325">
        <v>320.73253122014393</v>
      </c>
      <c r="K325">
        <v>317.67593646052694</v>
      </c>
      <c r="L325">
        <v>398.92944204162393</v>
      </c>
    </row>
    <row r="326" spans="1:12" x14ac:dyDescent="0.25">
      <c r="A326">
        <v>249.6333912266094</v>
      </c>
      <c r="B326">
        <v>251.14900922506348</v>
      </c>
      <c r="C326">
        <v>245.70271614217214</v>
      </c>
      <c r="D326">
        <v>233.17575608412818</v>
      </c>
      <c r="E326">
        <v>274.46999539754017</v>
      </c>
      <c r="F326">
        <v>238.27130115542033</v>
      </c>
      <c r="G326">
        <v>236.86908479144478</v>
      </c>
      <c r="H326">
        <v>243.49719543543674</v>
      </c>
      <c r="I326">
        <v>262.83446119183822</v>
      </c>
      <c r="J326">
        <v>272.1143449966288</v>
      </c>
      <c r="K326">
        <v>296.8569419343761</v>
      </c>
      <c r="L326">
        <v>335.05287390016213</v>
      </c>
    </row>
    <row r="327" spans="1:12" x14ac:dyDescent="0.25">
      <c r="A327">
        <v>241.27813531443238</v>
      </c>
      <c r="B327">
        <v>260.74135584309738</v>
      </c>
      <c r="C327">
        <v>240.24655482799915</v>
      </c>
      <c r="D327">
        <v>251.9063959503973</v>
      </c>
      <c r="E327">
        <v>294.60606510089792</v>
      </c>
      <c r="F327">
        <v>267.56221461368926</v>
      </c>
      <c r="G327">
        <v>276.69582914625437</v>
      </c>
      <c r="H327">
        <v>279.78543843040916</v>
      </c>
      <c r="I327">
        <v>312.07139028391555</v>
      </c>
      <c r="J327">
        <v>308.78266526302673</v>
      </c>
      <c r="K327">
        <v>333.97946755705726</v>
      </c>
      <c r="L327">
        <v>394.7525184052995</v>
      </c>
    </row>
    <row r="328" spans="1:12" x14ac:dyDescent="0.25">
      <c r="A328">
        <v>257.03108598695979</v>
      </c>
      <c r="B328">
        <v>262.99890007811069</v>
      </c>
      <c r="C328">
        <v>240.10259466571321</v>
      </c>
      <c r="D328">
        <v>240.52928258486705</v>
      </c>
      <c r="E328">
        <v>280.0186938096939</v>
      </c>
      <c r="F328">
        <v>234.11895115273686</v>
      </c>
      <c r="G328">
        <v>237.87528775021241</v>
      </c>
      <c r="H328">
        <v>265.28884508192152</v>
      </c>
      <c r="I328">
        <v>287.04823001824752</v>
      </c>
      <c r="J328">
        <v>289.58643647638127</v>
      </c>
      <c r="K328">
        <v>306.14741105193769</v>
      </c>
      <c r="L328">
        <v>358.3992401295705</v>
      </c>
    </row>
    <row r="329" spans="1:12" x14ac:dyDescent="0.25">
      <c r="A329">
        <v>267.55802378903684</v>
      </c>
      <c r="B329">
        <v>262.33316696635239</v>
      </c>
      <c r="C329">
        <v>239.29116368434785</v>
      </c>
      <c r="D329">
        <v>240.21579435697797</v>
      </c>
      <c r="E329">
        <v>294.71451192891692</v>
      </c>
      <c r="F329">
        <v>244.32029883177248</v>
      </c>
      <c r="G329">
        <v>259.67656113122524</v>
      </c>
      <c r="H329">
        <v>249.62337092644023</v>
      </c>
      <c r="I329">
        <v>286.04712495869103</v>
      </c>
      <c r="J329">
        <v>311.10786578714857</v>
      </c>
      <c r="K329">
        <v>316.50445478621305</v>
      </c>
      <c r="L329">
        <v>377.57347949698203</v>
      </c>
    </row>
    <row r="330" spans="1:12" x14ac:dyDescent="0.25">
      <c r="A330">
        <v>240.55653741017011</v>
      </c>
      <c r="B330">
        <v>252.68062952356595</v>
      </c>
      <c r="C330">
        <v>254.59047017064154</v>
      </c>
      <c r="D330">
        <v>260.94368283783933</v>
      </c>
      <c r="E330">
        <v>300.61684565039184</v>
      </c>
      <c r="F330">
        <v>273.71821518312606</v>
      </c>
      <c r="G330">
        <v>292.18040177968123</v>
      </c>
      <c r="H330">
        <v>308.62408087547345</v>
      </c>
      <c r="I330">
        <v>348.84690484097956</v>
      </c>
      <c r="J330">
        <v>352.84948195209836</v>
      </c>
      <c r="K330">
        <v>385.09277342034568</v>
      </c>
      <c r="L330">
        <v>454.63219961055262</v>
      </c>
    </row>
    <row r="331" spans="1:12" x14ac:dyDescent="0.25">
      <c r="A331">
        <v>237.89543403328923</v>
      </c>
      <c r="B331">
        <v>268.54854791633977</v>
      </c>
      <c r="C331">
        <v>233.33520521973085</v>
      </c>
      <c r="D331">
        <v>241.98373622092393</v>
      </c>
      <c r="E331">
        <v>274.9287140473545</v>
      </c>
      <c r="F331">
        <v>259.26251438965949</v>
      </c>
      <c r="G331">
        <v>271.33190525419695</v>
      </c>
      <c r="H331">
        <v>272.88010187607017</v>
      </c>
      <c r="I331">
        <v>297.68346752427726</v>
      </c>
      <c r="J331">
        <v>324.14358833596049</v>
      </c>
      <c r="K331">
        <v>331.11585797611008</v>
      </c>
      <c r="L331">
        <v>404.94095452994765</v>
      </c>
    </row>
    <row r="332" spans="1:12" x14ac:dyDescent="0.25">
      <c r="A332">
        <v>248.50844530916496</v>
      </c>
      <c r="B332">
        <v>277.54007394239534</v>
      </c>
      <c r="C332">
        <v>228.25691676965639</v>
      </c>
      <c r="D332">
        <v>256.410707915817</v>
      </c>
      <c r="E332">
        <v>292.30925389741543</v>
      </c>
      <c r="F332">
        <v>273.13709501319619</v>
      </c>
      <c r="G332">
        <v>274.46583920777397</v>
      </c>
      <c r="H332">
        <v>277.36353200775699</v>
      </c>
      <c r="I332">
        <v>316.70624791360211</v>
      </c>
      <c r="J332">
        <v>344.99613185026146</v>
      </c>
      <c r="K332">
        <v>337.81824568678149</v>
      </c>
      <c r="L332">
        <v>418.81296420933074</v>
      </c>
    </row>
    <row r="333" spans="1:12" x14ac:dyDescent="0.25">
      <c r="A333">
        <v>251.35465455817416</v>
      </c>
      <c r="B333">
        <v>264.03449864138196</v>
      </c>
      <c r="C333">
        <v>243.86674181186532</v>
      </c>
      <c r="D333">
        <v>250.21983112852152</v>
      </c>
      <c r="E333">
        <v>292.61306040047759</v>
      </c>
      <c r="F333">
        <v>256.88612398852041</v>
      </c>
      <c r="G333">
        <v>271.14024030624699</v>
      </c>
      <c r="H333">
        <v>282.13693068862619</v>
      </c>
      <c r="I333">
        <v>299.13309806844433</v>
      </c>
      <c r="J333">
        <v>317.86908758848421</v>
      </c>
      <c r="K333">
        <v>340.35459242152746</v>
      </c>
      <c r="L333">
        <v>385.94964505259287</v>
      </c>
    </row>
    <row r="334" spans="1:12" x14ac:dyDescent="0.25">
      <c r="A334">
        <v>244.95226261750832</v>
      </c>
      <c r="B334">
        <v>276.22884241480767</v>
      </c>
      <c r="C334">
        <v>254.77073582961307</v>
      </c>
      <c r="D334">
        <v>255.89778835887583</v>
      </c>
      <c r="E334">
        <v>281.54336095306155</v>
      </c>
      <c r="F334">
        <v>273.28338750269074</v>
      </c>
      <c r="G334">
        <v>275.8424603540775</v>
      </c>
      <c r="H334">
        <v>288.55029205111032</v>
      </c>
      <c r="I334">
        <v>313.59290361306938</v>
      </c>
      <c r="J334">
        <v>337.37329061769827</v>
      </c>
      <c r="K334">
        <v>348.2574558752969</v>
      </c>
      <c r="L334">
        <v>404.71860117136282</v>
      </c>
    </row>
    <row r="335" spans="1:12" x14ac:dyDescent="0.25">
      <c r="A335">
        <v>249.03547924570881</v>
      </c>
      <c r="B335">
        <v>269.35408555080983</v>
      </c>
      <c r="C335">
        <v>238.47711564171556</v>
      </c>
      <c r="D335">
        <v>264.28746307633349</v>
      </c>
      <c r="E335">
        <v>289.37091023797734</v>
      </c>
      <c r="F335">
        <v>266.33375463333226</v>
      </c>
      <c r="G335">
        <v>288.97287472446101</v>
      </c>
      <c r="H335">
        <v>296.71527587345992</v>
      </c>
      <c r="I335">
        <v>331.01793182017235</v>
      </c>
      <c r="J335">
        <v>330.03881458557186</v>
      </c>
      <c r="K335">
        <v>354.09754735357711</v>
      </c>
      <c r="L335">
        <v>413.39644474801884</v>
      </c>
    </row>
    <row r="336" spans="1:12" x14ac:dyDescent="0.25">
      <c r="A336">
        <v>237.8209402396057</v>
      </c>
      <c r="B336">
        <v>277.52572860185433</v>
      </c>
      <c r="C336">
        <v>240.43696439521997</v>
      </c>
      <c r="D336">
        <v>250.16314422987048</v>
      </c>
      <c r="E336">
        <v>266.68858564592085</v>
      </c>
      <c r="F336">
        <v>240.98079176080688</v>
      </c>
      <c r="G336">
        <v>252.48622847769562</v>
      </c>
      <c r="H336">
        <v>241.65745747501325</v>
      </c>
      <c r="I336">
        <v>271.53829728338235</v>
      </c>
      <c r="J336">
        <v>292.7647950066945</v>
      </c>
      <c r="K336">
        <v>298.17097050477582</v>
      </c>
      <c r="L336">
        <v>353.75429714692876</v>
      </c>
    </row>
    <row r="337" spans="1:12" x14ac:dyDescent="0.25">
      <c r="A337">
        <v>237.23802824970056</v>
      </c>
      <c r="B337">
        <v>260.7696029292681</v>
      </c>
      <c r="C337">
        <v>237.48473737822843</v>
      </c>
      <c r="D337">
        <v>247.48584334518725</v>
      </c>
      <c r="E337">
        <v>282.74629092934384</v>
      </c>
      <c r="F337">
        <v>239.96461518146194</v>
      </c>
      <c r="G337">
        <v>269.41534016250182</v>
      </c>
      <c r="H337">
        <v>274.02608270208714</v>
      </c>
      <c r="I337">
        <v>275.52348672073117</v>
      </c>
      <c r="J337">
        <v>305.97211253049454</v>
      </c>
      <c r="K337">
        <v>320.96880971905216</v>
      </c>
      <c r="L337">
        <v>372.86472135496371</v>
      </c>
    </row>
    <row r="338" spans="1:12" x14ac:dyDescent="0.25">
      <c r="A338">
        <v>257.54775826847253</v>
      </c>
      <c r="B338">
        <v>258.78681783202126</v>
      </c>
      <c r="C338">
        <v>246.65791425668851</v>
      </c>
      <c r="D338">
        <v>239.42641701050292</v>
      </c>
      <c r="E338">
        <v>293.52729328107552</v>
      </c>
      <c r="F338">
        <v>268.70520816654266</v>
      </c>
      <c r="G338">
        <v>266.53521476430961</v>
      </c>
      <c r="H338">
        <v>281.82535036877272</v>
      </c>
      <c r="I338">
        <v>322.92478599313733</v>
      </c>
      <c r="J338">
        <v>326.61688482392179</v>
      </c>
      <c r="K338">
        <v>348.89344557110519</v>
      </c>
      <c r="L338">
        <v>403.78734473343064</v>
      </c>
    </row>
    <row r="339" spans="1:12" x14ac:dyDescent="0.25">
      <c r="A339">
        <v>253.02759604695657</v>
      </c>
      <c r="B339">
        <v>260.0068391893862</v>
      </c>
      <c r="C339">
        <v>242.37801154640511</v>
      </c>
      <c r="D339">
        <v>233.52279062115693</v>
      </c>
      <c r="E339">
        <v>276.09451348085389</v>
      </c>
      <c r="F339">
        <v>239.55689512314706</v>
      </c>
      <c r="G339">
        <v>250.50018824576026</v>
      </c>
      <c r="H339">
        <v>246.94932509743663</v>
      </c>
      <c r="I339">
        <v>281.97539933576468</v>
      </c>
      <c r="J339">
        <v>302.15522782866202</v>
      </c>
      <c r="K339">
        <v>315.45957948299167</v>
      </c>
      <c r="L339">
        <v>328.34217212898352</v>
      </c>
    </row>
    <row r="340" spans="1:12" x14ac:dyDescent="0.25">
      <c r="A340">
        <v>238.86432240739481</v>
      </c>
      <c r="B340">
        <v>253.9560914733143</v>
      </c>
      <c r="C340">
        <v>252.31934559059258</v>
      </c>
      <c r="D340">
        <v>246.35450196340273</v>
      </c>
      <c r="E340">
        <v>274.4364078693053</v>
      </c>
      <c r="F340">
        <v>257.60970152928115</v>
      </c>
      <c r="G340">
        <v>241.63642146636104</v>
      </c>
      <c r="H340">
        <v>259.0738269710713</v>
      </c>
      <c r="I340">
        <v>281.65110109350832</v>
      </c>
      <c r="J340">
        <v>292.0559956245657</v>
      </c>
      <c r="K340">
        <v>313.10515521440954</v>
      </c>
      <c r="L340">
        <v>365.25753529275192</v>
      </c>
    </row>
    <row r="341" spans="1:12" x14ac:dyDescent="0.25">
      <c r="A341">
        <v>228.7277614353128</v>
      </c>
      <c r="B341">
        <v>260.62692036651293</v>
      </c>
      <c r="C341">
        <v>226.77690284787019</v>
      </c>
      <c r="D341">
        <v>243.6144922964402</v>
      </c>
      <c r="E341">
        <v>268.88489415982832</v>
      </c>
      <c r="F341">
        <v>238.41295486134459</v>
      </c>
      <c r="G341">
        <v>247.89084506355906</v>
      </c>
      <c r="H341">
        <v>253.47078792553302</v>
      </c>
      <c r="I341">
        <v>273.90649363166114</v>
      </c>
      <c r="J341">
        <v>269.98560597892441</v>
      </c>
      <c r="K341">
        <v>301.05050364053324</v>
      </c>
      <c r="L341">
        <v>337.54635564726021</v>
      </c>
    </row>
    <row r="342" spans="1:12" x14ac:dyDescent="0.25">
      <c r="A342">
        <v>246.0031270797582</v>
      </c>
      <c r="B342">
        <v>262.93508089174895</v>
      </c>
      <c r="C342">
        <v>239.07136514208935</v>
      </c>
      <c r="D342">
        <v>250.10973169164816</v>
      </c>
      <c r="E342">
        <v>300.64948219157003</v>
      </c>
      <c r="F342">
        <v>261.53203115482188</v>
      </c>
      <c r="G342">
        <v>269.16406194232076</v>
      </c>
      <c r="H342">
        <v>266.64891080611767</v>
      </c>
      <c r="I342">
        <v>312.83432078468047</v>
      </c>
      <c r="J342">
        <v>334.28885443866432</v>
      </c>
      <c r="K342">
        <v>337.98075678913671</v>
      </c>
      <c r="L342">
        <v>401.75146241449204</v>
      </c>
    </row>
    <row r="343" spans="1:12" x14ac:dyDescent="0.25">
      <c r="A343">
        <v>236.42867548807445</v>
      </c>
      <c r="B343">
        <v>260.39439887254491</v>
      </c>
      <c r="C343">
        <v>226.17610405756355</v>
      </c>
      <c r="D343">
        <v>213.25642258191721</v>
      </c>
      <c r="E343">
        <v>276.41745555385461</v>
      </c>
      <c r="F343">
        <v>231.9488864622808</v>
      </c>
      <c r="G343">
        <v>230.97324600007963</v>
      </c>
      <c r="H343">
        <v>231.58804464348577</v>
      </c>
      <c r="I343">
        <v>270.20492578258097</v>
      </c>
      <c r="J343">
        <v>255.55940829913831</v>
      </c>
      <c r="K343">
        <v>278.12950696371723</v>
      </c>
      <c r="L343">
        <v>329.45930105506829</v>
      </c>
    </row>
    <row r="344" spans="1:12" x14ac:dyDescent="0.25">
      <c r="A344">
        <v>250.07758945032515</v>
      </c>
      <c r="B344">
        <v>262.13700780069536</v>
      </c>
      <c r="C344">
        <v>254.04705979339727</v>
      </c>
      <c r="D344">
        <v>254.74117469192529</v>
      </c>
      <c r="E344">
        <v>295.62694527794559</v>
      </c>
      <c r="F344">
        <v>276.21355243111765</v>
      </c>
      <c r="G344">
        <v>284.56101418805639</v>
      </c>
      <c r="H344">
        <v>295.1134013934867</v>
      </c>
      <c r="I344">
        <v>322.4532729783856</v>
      </c>
      <c r="J344">
        <v>344.96672081984684</v>
      </c>
      <c r="K344">
        <v>357.31531564454286</v>
      </c>
      <c r="L344">
        <v>439.22810792289113</v>
      </c>
    </row>
    <row r="345" spans="1:12" x14ac:dyDescent="0.25">
      <c r="A345">
        <v>253.94506505172811</v>
      </c>
      <c r="B345">
        <v>274.4421295651066</v>
      </c>
      <c r="C345">
        <v>254.45550029133773</v>
      </c>
      <c r="D345">
        <v>262.25706748748365</v>
      </c>
      <c r="E345">
        <v>296.27631128796253</v>
      </c>
      <c r="F345">
        <v>253.36886801636814</v>
      </c>
      <c r="G345">
        <v>282.86255582926367</v>
      </c>
      <c r="H345">
        <v>269.23110823721703</v>
      </c>
      <c r="I345">
        <v>315.82740399764106</v>
      </c>
      <c r="J345">
        <v>322.19148660811908</v>
      </c>
      <c r="K345">
        <v>323.123239940681</v>
      </c>
      <c r="L345">
        <v>392.602894101625</v>
      </c>
    </row>
    <row r="346" spans="1:12" x14ac:dyDescent="0.25">
      <c r="A346">
        <v>255.05246145795553</v>
      </c>
      <c r="B346">
        <v>281.00024184586226</v>
      </c>
      <c r="C346">
        <v>258.1176705634046</v>
      </c>
      <c r="D346">
        <v>240.92485340488253</v>
      </c>
      <c r="E346">
        <v>302.37727401089307</v>
      </c>
      <c r="F346">
        <v>250.86791274520343</v>
      </c>
      <c r="G346">
        <v>265.51598674058937</v>
      </c>
      <c r="H346">
        <v>274.64741755852037</v>
      </c>
      <c r="I346">
        <v>294.22219013922052</v>
      </c>
      <c r="J346">
        <v>307.58085142863172</v>
      </c>
      <c r="K346">
        <v>336.93568303232837</v>
      </c>
      <c r="L346">
        <v>376.42573025276261</v>
      </c>
    </row>
    <row r="347" spans="1:12" x14ac:dyDescent="0.25">
      <c r="A347">
        <v>231.68800941717788</v>
      </c>
      <c r="B347">
        <v>264.33291624055261</v>
      </c>
      <c r="C347">
        <v>235.42112374090209</v>
      </c>
      <c r="D347">
        <v>255.66043196087713</v>
      </c>
      <c r="E347">
        <v>263.29050907336824</v>
      </c>
      <c r="F347">
        <v>243.15981477140534</v>
      </c>
      <c r="G347">
        <v>253.56682408952256</v>
      </c>
      <c r="H347">
        <v>282.14359662883214</v>
      </c>
      <c r="I347">
        <v>273.19015894958096</v>
      </c>
      <c r="J347">
        <v>291.35484218181068</v>
      </c>
      <c r="K347">
        <v>331.04295735904128</v>
      </c>
      <c r="L347">
        <v>373.2556830685611</v>
      </c>
    </row>
    <row r="348" spans="1:12" x14ac:dyDescent="0.25">
      <c r="A348">
        <v>236.73789648653485</v>
      </c>
      <c r="B348">
        <v>249.51658300626292</v>
      </c>
      <c r="C348">
        <v>228.28404077182572</v>
      </c>
      <c r="D348">
        <v>238.54347692023975</v>
      </c>
      <c r="E348">
        <v>259.57060467874084</v>
      </c>
      <c r="F348">
        <v>231.92937919680946</v>
      </c>
      <c r="G348">
        <v>226.5805800893996</v>
      </c>
      <c r="H348">
        <v>234.2170339157145</v>
      </c>
      <c r="I348">
        <v>238.77118786367373</v>
      </c>
      <c r="J348">
        <v>262.70531780669995</v>
      </c>
      <c r="K348">
        <v>263.85273974179842</v>
      </c>
      <c r="L348">
        <v>301.81160322716283</v>
      </c>
    </row>
    <row r="349" spans="1:12" x14ac:dyDescent="0.25">
      <c r="A349">
        <v>240.69007785076573</v>
      </c>
      <c r="B349">
        <v>260.65251892746181</v>
      </c>
      <c r="C349">
        <v>226.22796479205297</v>
      </c>
      <c r="D349">
        <v>236.22483770881868</v>
      </c>
      <c r="E349">
        <v>285.45907607680448</v>
      </c>
      <c r="F349">
        <v>219.4358689680553</v>
      </c>
      <c r="G349">
        <v>251.07413341216483</v>
      </c>
      <c r="H349">
        <v>249.8593492290197</v>
      </c>
      <c r="I349">
        <v>261.21396211293086</v>
      </c>
      <c r="J349">
        <v>284.63831215504047</v>
      </c>
      <c r="K349">
        <v>294.4603022211698</v>
      </c>
      <c r="L349">
        <v>341.50341098274043</v>
      </c>
    </row>
    <row r="350" spans="1:12" x14ac:dyDescent="0.25">
      <c r="A350">
        <v>246.71295827345278</v>
      </c>
      <c r="B350">
        <v>261.73099411881367</v>
      </c>
      <c r="C350">
        <v>223.81435724495677</v>
      </c>
      <c r="D350">
        <v>249.29662278781967</v>
      </c>
      <c r="E350">
        <v>286.74578780345604</v>
      </c>
      <c r="F350">
        <v>235.21838776082407</v>
      </c>
      <c r="G350">
        <v>254.60801065044649</v>
      </c>
      <c r="H350">
        <v>271.46847086524565</v>
      </c>
      <c r="I350">
        <v>260.69744477143939</v>
      </c>
      <c r="J350">
        <v>297.54965512984205</v>
      </c>
      <c r="K350">
        <v>299.10683223875765</v>
      </c>
      <c r="L350">
        <v>325.04890201918823</v>
      </c>
    </row>
    <row r="351" spans="1:12" x14ac:dyDescent="0.25">
      <c r="A351">
        <v>243.90146989587225</v>
      </c>
      <c r="B351">
        <v>272.39530995362037</v>
      </c>
      <c r="C351">
        <v>235.54425208315357</v>
      </c>
      <c r="D351">
        <v>257.26517979016381</v>
      </c>
      <c r="E351">
        <v>271.91981681419196</v>
      </c>
      <c r="F351">
        <v>251.60165782076103</v>
      </c>
      <c r="G351">
        <v>267.62769385094299</v>
      </c>
      <c r="H351">
        <v>268.76089546692305</v>
      </c>
      <c r="I351">
        <v>298.51288898770827</v>
      </c>
      <c r="J351">
        <v>300.75355588777529</v>
      </c>
      <c r="K351">
        <v>335.35422055580074</v>
      </c>
      <c r="L351">
        <v>393.24394382429</v>
      </c>
    </row>
    <row r="352" spans="1:12" x14ac:dyDescent="0.25">
      <c r="A352">
        <v>254.37060269436719</v>
      </c>
      <c r="B352">
        <v>283.45184945257819</v>
      </c>
      <c r="C352">
        <v>235.45932053674562</v>
      </c>
      <c r="D352">
        <v>234.37678566318374</v>
      </c>
      <c r="E352">
        <v>291.77380495518292</v>
      </c>
      <c r="F352">
        <v>259.93929006979619</v>
      </c>
      <c r="G352">
        <v>270.72572554670649</v>
      </c>
      <c r="H352">
        <v>275.0187989572708</v>
      </c>
      <c r="I352">
        <v>283.81952019570991</v>
      </c>
      <c r="J352">
        <v>318.9736628314418</v>
      </c>
      <c r="K352">
        <v>331.05950432834834</v>
      </c>
      <c r="L352">
        <v>390.94201046688937</v>
      </c>
    </row>
    <row r="353" spans="1:12" x14ac:dyDescent="0.25">
      <c r="A353">
        <v>227.18530133089996</v>
      </c>
      <c r="B353">
        <v>248.30890392648629</v>
      </c>
      <c r="C353">
        <v>220.96528103279707</v>
      </c>
      <c r="D353">
        <v>235.76059472470399</v>
      </c>
      <c r="E353">
        <v>279.48415778400602</v>
      </c>
      <c r="F353">
        <v>227.44225788242466</v>
      </c>
      <c r="G353">
        <v>246.3454687961738</v>
      </c>
      <c r="H353">
        <v>236.97739725111717</v>
      </c>
      <c r="I353">
        <v>281.9469504143517</v>
      </c>
      <c r="J353">
        <v>275.85797225820187</v>
      </c>
      <c r="K353">
        <v>287.28722287187361</v>
      </c>
      <c r="L353">
        <v>336.83603905372843</v>
      </c>
    </row>
    <row r="354" spans="1:12" x14ac:dyDescent="0.25">
      <c r="A354">
        <v>244.0029211680899</v>
      </c>
      <c r="B354">
        <v>271.99161468279857</v>
      </c>
      <c r="C354">
        <v>243.84264164405442</v>
      </c>
      <c r="D354">
        <v>236.07927465331204</v>
      </c>
      <c r="E354">
        <v>281.31322211976419</v>
      </c>
      <c r="F354">
        <v>253.38202921718002</v>
      </c>
      <c r="G354">
        <v>255.95908626604091</v>
      </c>
      <c r="H354">
        <v>267.39266127706162</v>
      </c>
      <c r="I354">
        <v>272.33395893970044</v>
      </c>
      <c r="J354">
        <v>303.07889333013367</v>
      </c>
      <c r="K354">
        <v>302.55041383531591</v>
      </c>
      <c r="L354">
        <v>379.13125771453707</v>
      </c>
    </row>
    <row r="355" spans="1:12" x14ac:dyDescent="0.25">
      <c r="A355">
        <v>240.55174940565459</v>
      </c>
      <c r="B355">
        <v>260.50812477324422</v>
      </c>
      <c r="C355">
        <v>246.37628757380887</v>
      </c>
      <c r="D355">
        <v>237.43301607148916</v>
      </c>
      <c r="E355">
        <v>284.09401968555954</v>
      </c>
      <c r="F355">
        <v>248.23764443118495</v>
      </c>
      <c r="G355">
        <v>253.61176839817688</v>
      </c>
      <c r="H355">
        <v>266.12625502372737</v>
      </c>
      <c r="I355">
        <v>300.22527474893474</v>
      </c>
      <c r="J355">
        <v>307.88393491114005</v>
      </c>
      <c r="K355">
        <v>317.80258197868648</v>
      </c>
      <c r="L355">
        <v>373.70980667585832</v>
      </c>
    </row>
    <row r="356" spans="1:12" x14ac:dyDescent="0.25">
      <c r="A356">
        <v>249.15574082076674</v>
      </c>
      <c r="B356">
        <v>239.57164834624894</v>
      </c>
      <c r="C356">
        <v>242.12620278514265</v>
      </c>
      <c r="D356">
        <v>245.02324572095878</v>
      </c>
      <c r="E356">
        <v>290.89838044079153</v>
      </c>
      <c r="F356">
        <v>247.21790725262707</v>
      </c>
      <c r="G356">
        <v>253.48751742942648</v>
      </c>
      <c r="H356">
        <v>257.96074404503861</v>
      </c>
      <c r="I356">
        <v>286.61890736765901</v>
      </c>
      <c r="J356">
        <v>296.32216864935594</v>
      </c>
      <c r="K356">
        <v>308.33564514517929</v>
      </c>
      <c r="L356">
        <v>366.54904619027496</v>
      </c>
    </row>
    <row r="357" spans="1:12" x14ac:dyDescent="0.25">
      <c r="A357">
        <v>249.97882104168249</v>
      </c>
      <c r="B357">
        <v>256.82188955694636</v>
      </c>
      <c r="C357">
        <v>242.89811930970907</v>
      </c>
      <c r="D357">
        <v>258.260909003064</v>
      </c>
      <c r="E357">
        <v>292.95283288110602</v>
      </c>
      <c r="F357">
        <v>248.00678737030037</v>
      </c>
      <c r="G357">
        <v>261.57650093086721</v>
      </c>
      <c r="H357">
        <v>266.80269713151085</v>
      </c>
      <c r="I357">
        <v>289.26757358934879</v>
      </c>
      <c r="J357">
        <v>321.15935515081759</v>
      </c>
      <c r="K357">
        <v>330.1407096166057</v>
      </c>
      <c r="L357">
        <v>379.58168849414091</v>
      </c>
    </row>
    <row r="358" spans="1:12" x14ac:dyDescent="0.25">
      <c r="A358">
        <v>223.50138048740314</v>
      </c>
      <c r="B358">
        <v>253.99000841855269</v>
      </c>
      <c r="C358">
        <v>225.38617080599437</v>
      </c>
      <c r="D358">
        <v>229.24137008208757</v>
      </c>
      <c r="E358">
        <v>266.37069640857283</v>
      </c>
      <c r="F358">
        <v>227.69415458640077</v>
      </c>
      <c r="G358">
        <v>242.73604578643381</v>
      </c>
      <c r="H358">
        <v>253.13717974579367</v>
      </c>
      <c r="I358">
        <v>270.88406448142416</v>
      </c>
      <c r="J358">
        <v>283.52235466037041</v>
      </c>
      <c r="K358">
        <v>308.13024591691033</v>
      </c>
      <c r="L358">
        <v>339.5360176509642</v>
      </c>
    </row>
    <row r="359" spans="1:12" x14ac:dyDescent="0.25">
      <c r="A359">
        <v>228.27517415811522</v>
      </c>
      <c r="B359">
        <v>253.00380698514567</v>
      </c>
      <c r="C359">
        <v>237.99724013894317</v>
      </c>
      <c r="D359">
        <v>243.6472056056667</v>
      </c>
      <c r="E359">
        <v>273.11335524971923</v>
      </c>
      <c r="F359">
        <v>247.0561847668217</v>
      </c>
      <c r="G359">
        <v>250.79958833163064</v>
      </c>
      <c r="H359">
        <v>266.23631437835928</v>
      </c>
      <c r="I359">
        <v>275.18641932691679</v>
      </c>
      <c r="J359">
        <v>326.94843372687575</v>
      </c>
      <c r="K359">
        <v>332.12101792797552</v>
      </c>
      <c r="L359">
        <v>370.26039558036945</v>
      </c>
    </row>
    <row r="360" spans="1:12" x14ac:dyDescent="0.25">
      <c r="A360">
        <v>248.02412934889037</v>
      </c>
      <c r="B360">
        <v>271.67608448610275</v>
      </c>
      <c r="C360">
        <v>255.60067483336252</v>
      </c>
      <c r="D360">
        <v>241.03397998954364</v>
      </c>
      <c r="E360">
        <v>280.69835381557567</v>
      </c>
      <c r="F360">
        <v>238.10445143527588</v>
      </c>
      <c r="G360">
        <v>250.72116644528452</v>
      </c>
      <c r="H360">
        <v>260.37858475581919</v>
      </c>
      <c r="I360">
        <v>277.99813802767295</v>
      </c>
      <c r="J360">
        <v>284.89931816874468</v>
      </c>
      <c r="K360">
        <v>301.14170481256167</v>
      </c>
      <c r="L360">
        <v>350.56660768376167</v>
      </c>
    </row>
    <row r="361" spans="1:12" x14ac:dyDescent="0.25">
      <c r="A361">
        <v>263.69778294307696</v>
      </c>
      <c r="B361">
        <v>267.63365776186635</v>
      </c>
      <c r="C361">
        <v>236.25451598258579</v>
      </c>
      <c r="D361">
        <v>232.82135171443096</v>
      </c>
      <c r="E361">
        <v>279.67332924310006</v>
      </c>
      <c r="F361">
        <v>249.19107177157181</v>
      </c>
      <c r="G361">
        <v>260.84129559493391</v>
      </c>
      <c r="H361">
        <v>287.76883324061157</v>
      </c>
      <c r="I361">
        <v>305.41370444594043</v>
      </c>
      <c r="J361">
        <v>328.08070718655648</v>
      </c>
      <c r="K361">
        <v>339.11068892909151</v>
      </c>
      <c r="L361">
        <v>396.02099677883336</v>
      </c>
    </row>
    <row r="362" spans="1:12" x14ac:dyDescent="0.25">
      <c r="A362">
        <v>261.2386210252057</v>
      </c>
      <c r="B362">
        <v>274.56545696432426</v>
      </c>
      <c r="C362">
        <v>262.47368257236076</v>
      </c>
      <c r="D362">
        <v>260.20211196165195</v>
      </c>
      <c r="E362">
        <v>303.72722785548569</v>
      </c>
      <c r="F362">
        <v>286.70078399058576</v>
      </c>
      <c r="G362">
        <v>280.44440348705837</v>
      </c>
      <c r="H362">
        <v>279.57772183858322</v>
      </c>
      <c r="I362">
        <v>316.01908523163195</v>
      </c>
      <c r="J362">
        <v>345.8938955578397</v>
      </c>
      <c r="K362">
        <v>352.96434743882293</v>
      </c>
      <c r="L362">
        <v>415.61171738586148</v>
      </c>
    </row>
    <row r="363" spans="1:12" x14ac:dyDescent="0.25">
      <c r="A363">
        <v>250.06331613604033</v>
      </c>
      <c r="B363">
        <v>282.19989284181759</v>
      </c>
      <c r="C363">
        <v>241.77943592927818</v>
      </c>
      <c r="D363">
        <v>261.3359301552926</v>
      </c>
      <c r="E363">
        <v>290.80355927910642</v>
      </c>
      <c r="F363">
        <v>258.14820139905072</v>
      </c>
      <c r="G363">
        <v>259.31616540184302</v>
      </c>
      <c r="H363">
        <v>276.48235988052988</v>
      </c>
      <c r="I363">
        <v>304.67979806939832</v>
      </c>
      <c r="J363">
        <v>313.11363728554011</v>
      </c>
      <c r="K363">
        <v>336.52250157380342</v>
      </c>
      <c r="L363">
        <v>386.15845499518906</v>
      </c>
    </row>
    <row r="364" spans="1:12" x14ac:dyDescent="0.25">
      <c r="A364">
        <v>240.65344474149776</v>
      </c>
      <c r="B364">
        <v>266.81133384612957</v>
      </c>
      <c r="C364">
        <v>237.67237836573338</v>
      </c>
      <c r="D364">
        <v>247.73825162939067</v>
      </c>
      <c r="E364">
        <v>281.70206871921079</v>
      </c>
      <c r="F364">
        <v>238.04488058774174</v>
      </c>
      <c r="G364">
        <v>248.01931825982504</v>
      </c>
      <c r="H364">
        <v>264.01240468411351</v>
      </c>
      <c r="I364">
        <v>267.23523851394236</v>
      </c>
      <c r="J364">
        <v>282.42928147179441</v>
      </c>
      <c r="K364">
        <v>303.57576098319532</v>
      </c>
      <c r="L364">
        <v>358.82358523075123</v>
      </c>
    </row>
    <row r="365" spans="1:12" x14ac:dyDescent="0.25">
      <c r="A365">
        <v>244.47528466867908</v>
      </c>
      <c r="B365">
        <v>258.06469592588411</v>
      </c>
      <c r="C365">
        <v>237.99067581322561</v>
      </c>
      <c r="D365">
        <v>223.20169070298115</v>
      </c>
      <c r="E365">
        <v>277.37666885155807</v>
      </c>
      <c r="F365">
        <v>247.83520802156585</v>
      </c>
      <c r="G365">
        <v>257.16814686416183</v>
      </c>
      <c r="H365">
        <v>274.77029524805482</v>
      </c>
      <c r="I365">
        <v>298.09600862211909</v>
      </c>
      <c r="J365">
        <v>325.48516309242342</v>
      </c>
      <c r="K365">
        <v>345.47307737316487</v>
      </c>
      <c r="L365">
        <v>382.08441696458107</v>
      </c>
    </row>
    <row r="366" spans="1:12" x14ac:dyDescent="0.25">
      <c r="A366">
        <v>239.11196587941319</v>
      </c>
      <c r="B366">
        <v>266.36999342372047</v>
      </c>
      <c r="C366">
        <v>216.92053817838908</v>
      </c>
      <c r="D366">
        <v>223.08304293350341</v>
      </c>
      <c r="E366">
        <v>284.39595549072095</v>
      </c>
      <c r="F366">
        <v>227.73279575050475</v>
      </c>
      <c r="G366">
        <v>233.25790327825035</v>
      </c>
      <c r="H366">
        <v>251.41055958903328</v>
      </c>
      <c r="I366">
        <v>265.43986283172808</v>
      </c>
      <c r="J366">
        <v>293.1558930731689</v>
      </c>
      <c r="K366">
        <v>290.03471288887465</v>
      </c>
      <c r="L366">
        <v>346.59296462183653</v>
      </c>
    </row>
    <row r="367" spans="1:12" x14ac:dyDescent="0.25">
      <c r="A367">
        <v>242.16435706316884</v>
      </c>
      <c r="B367">
        <v>267.96562209376492</v>
      </c>
      <c r="C367">
        <v>217.4004195175375</v>
      </c>
      <c r="D367">
        <v>222.96013250691664</v>
      </c>
      <c r="E367">
        <v>268.73583291693757</v>
      </c>
      <c r="F367">
        <v>224.36453031874191</v>
      </c>
      <c r="G367">
        <v>254.34933928150267</v>
      </c>
      <c r="H367">
        <v>235.70541071895505</v>
      </c>
      <c r="I367">
        <v>249.603688720094</v>
      </c>
      <c r="J367">
        <v>249.44247520915496</v>
      </c>
      <c r="K367">
        <v>283.28337873481428</v>
      </c>
      <c r="L367">
        <v>305.75844848709619</v>
      </c>
    </row>
    <row r="368" spans="1:12" x14ac:dyDescent="0.25">
      <c r="A368">
        <v>257.46095300127678</v>
      </c>
      <c r="B368">
        <v>258.20067737451848</v>
      </c>
      <c r="C368">
        <v>243.58100848754216</v>
      </c>
      <c r="D368">
        <v>253.31701056701266</v>
      </c>
      <c r="E368">
        <v>274.21007028011894</v>
      </c>
      <c r="F368">
        <v>267.36813087075853</v>
      </c>
      <c r="G368">
        <v>283.396173583154</v>
      </c>
      <c r="H368">
        <v>264.5755448615916</v>
      </c>
      <c r="I368">
        <v>289.49181524240061</v>
      </c>
      <c r="J368">
        <v>318.90024500343407</v>
      </c>
      <c r="K368">
        <v>324.36932978696768</v>
      </c>
      <c r="L368">
        <v>393.57964765549781</v>
      </c>
    </row>
    <row r="369" spans="1:12" x14ac:dyDescent="0.25">
      <c r="A369">
        <v>244.83554024774458</v>
      </c>
      <c r="B369">
        <v>249.41638326003414</v>
      </c>
      <c r="C369">
        <v>247.40317116664994</v>
      </c>
      <c r="D369">
        <v>228.92461836686161</v>
      </c>
      <c r="E369">
        <v>284.37968420849609</v>
      </c>
      <c r="F369">
        <v>277.2066915625673</v>
      </c>
      <c r="G369">
        <v>268.45616541022093</v>
      </c>
      <c r="H369">
        <v>284.14852680477196</v>
      </c>
      <c r="I369">
        <v>302.08105595299429</v>
      </c>
      <c r="J369">
        <v>328.08961232413208</v>
      </c>
      <c r="K369">
        <v>346.22071168168327</v>
      </c>
      <c r="L369">
        <v>368.01943335840645</v>
      </c>
    </row>
    <row r="370" spans="1:12" x14ac:dyDescent="0.25">
      <c r="A370">
        <v>244.45014012407907</v>
      </c>
      <c r="B370">
        <v>244.24886691301569</v>
      </c>
      <c r="C370">
        <v>226.27096146794904</v>
      </c>
      <c r="D370">
        <v>212.99752601723247</v>
      </c>
      <c r="E370">
        <v>253.9491280294624</v>
      </c>
      <c r="F370">
        <v>221.50633895301812</v>
      </c>
      <c r="G370">
        <v>232.37697299227838</v>
      </c>
      <c r="H370">
        <v>239.29753966427134</v>
      </c>
      <c r="I370">
        <v>252.71311013497549</v>
      </c>
      <c r="J370">
        <v>272.94448997114102</v>
      </c>
      <c r="K370">
        <v>270.9681183821491</v>
      </c>
      <c r="L370">
        <v>314.07511984948684</v>
      </c>
    </row>
    <row r="371" spans="1:12" x14ac:dyDescent="0.25">
      <c r="A371">
        <v>255.7542263065109</v>
      </c>
      <c r="B371">
        <v>264.7968001050188</v>
      </c>
      <c r="C371">
        <v>246.80146035649301</v>
      </c>
      <c r="D371">
        <v>236.67566834853943</v>
      </c>
      <c r="E371">
        <v>284.21632008785701</v>
      </c>
      <c r="F371">
        <v>259.50974431051958</v>
      </c>
      <c r="G371">
        <v>251.9766092205337</v>
      </c>
      <c r="H371">
        <v>272.50702966907187</v>
      </c>
      <c r="I371">
        <v>277.13839918508052</v>
      </c>
      <c r="J371">
        <v>299.45208892962802</v>
      </c>
      <c r="K371">
        <v>311.24402371136171</v>
      </c>
      <c r="L371">
        <v>381.23543391727912</v>
      </c>
    </row>
    <row r="372" spans="1:12" x14ac:dyDescent="0.25">
      <c r="A372">
        <v>250.06548229489474</v>
      </c>
      <c r="B372">
        <v>241.30307829706976</v>
      </c>
      <c r="C372">
        <v>226.3380198988387</v>
      </c>
      <c r="D372">
        <v>225.53605703624601</v>
      </c>
      <c r="E372">
        <v>257.57321750570281</v>
      </c>
      <c r="F372">
        <v>210.66948002592503</v>
      </c>
      <c r="G372">
        <v>235.52297718513438</v>
      </c>
      <c r="H372">
        <v>232.44310857638405</v>
      </c>
      <c r="I372">
        <v>247.92777643004464</v>
      </c>
      <c r="J372">
        <v>257.25938929414832</v>
      </c>
      <c r="K372">
        <v>248.18572255517165</v>
      </c>
      <c r="L372">
        <v>290.05414488589503</v>
      </c>
    </row>
    <row r="373" spans="1:12" x14ac:dyDescent="0.25">
      <c r="A373">
        <v>238.92636086796145</v>
      </c>
      <c r="B373">
        <v>240.52425400855097</v>
      </c>
      <c r="C373">
        <v>228.7421602311785</v>
      </c>
      <c r="D373">
        <v>216.92834703819778</v>
      </c>
      <c r="E373">
        <v>256.38900416142531</v>
      </c>
      <c r="F373">
        <v>216.87142329331269</v>
      </c>
      <c r="G373">
        <v>222.25372520435781</v>
      </c>
      <c r="H373">
        <v>234.53573207799357</v>
      </c>
      <c r="I373">
        <v>236.04529185656327</v>
      </c>
      <c r="J373">
        <v>267.75108087286679</v>
      </c>
      <c r="K373">
        <v>266.53747786128412</v>
      </c>
      <c r="L373">
        <v>319.32751447970134</v>
      </c>
    </row>
    <row r="374" spans="1:12" x14ac:dyDescent="0.25">
      <c r="A374">
        <v>249.45057332995364</v>
      </c>
      <c r="B374">
        <v>254.23570208120296</v>
      </c>
      <c r="C374">
        <v>261.69193250016855</v>
      </c>
      <c r="D374">
        <v>239.44006963217331</v>
      </c>
      <c r="E374">
        <v>287.00601741377545</v>
      </c>
      <c r="F374">
        <v>258.02048731969052</v>
      </c>
      <c r="G374">
        <v>253.03341220446967</v>
      </c>
      <c r="H374">
        <v>274.45326137413002</v>
      </c>
      <c r="I374">
        <v>295.42237412745101</v>
      </c>
      <c r="J374">
        <v>316.00055139141324</v>
      </c>
      <c r="K374">
        <v>312.94203391596767</v>
      </c>
      <c r="L374">
        <v>392.71615532787894</v>
      </c>
    </row>
    <row r="375" spans="1:12" x14ac:dyDescent="0.25">
      <c r="A375">
        <v>259.22885059951528</v>
      </c>
      <c r="B375">
        <v>254.34593002643905</v>
      </c>
      <c r="C375">
        <v>254.9397408879596</v>
      </c>
      <c r="D375">
        <v>247.12325387760956</v>
      </c>
      <c r="E375">
        <v>288.60462732366432</v>
      </c>
      <c r="F375">
        <v>258.58408725772625</v>
      </c>
      <c r="G375">
        <v>277.50056444213766</v>
      </c>
      <c r="H375">
        <v>262.27825913333385</v>
      </c>
      <c r="I375">
        <v>286.77479651241185</v>
      </c>
      <c r="J375">
        <v>303.65338669780095</v>
      </c>
      <c r="K375">
        <v>313.50064500219889</v>
      </c>
      <c r="L375">
        <v>369.48304343651535</v>
      </c>
    </row>
    <row r="376" spans="1:12" x14ac:dyDescent="0.25">
      <c r="A376">
        <v>254.78830688220401</v>
      </c>
      <c r="B376">
        <v>265.77743001579722</v>
      </c>
      <c r="C376">
        <v>258.1602838531004</v>
      </c>
      <c r="D376">
        <v>245.36674522965393</v>
      </c>
      <c r="E376">
        <v>302.55917242489659</v>
      </c>
      <c r="F376">
        <v>262.79274101301633</v>
      </c>
      <c r="G376">
        <v>251.47187251173662</v>
      </c>
      <c r="H376">
        <v>259.14149629417705</v>
      </c>
      <c r="I376">
        <v>299.64424028412753</v>
      </c>
      <c r="J376">
        <v>294.97462255251537</v>
      </c>
      <c r="K376">
        <v>314.082276591663</v>
      </c>
      <c r="L376">
        <v>396.31727859461182</v>
      </c>
    </row>
    <row r="377" spans="1:12" x14ac:dyDescent="0.25">
      <c r="A377">
        <v>253.44619592046587</v>
      </c>
      <c r="B377">
        <v>261.93919110131918</v>
      </c>
      <c r="C377">
        <v>222.67288822800543</v>
      </c>
      <c r="D377">
        <v>258.76897206615928</v>
      </c>
      <c r="E377">
        <v>283.41446203329809</v>
      </c>
      <c r="F377">
        <v>250.06650414576831</v>
      </c>
      <c r="G377">
        <v>270.35664519235928</v>
      </c>
      <c r="H377">
        <v>278.08365711429678</v>
      </c>
      <c r="I377">
        <v>285.83848505201087</v>
      </c>
      <c r="J377">
        <v>308.44137976478419</v>
      </c>
      <c r="K377">
        <v>321.21768246059105</v>
      </c>
      <c r="L377">
        <v>380.71832599871072</v>
      </c>
    </row>
    <row r="378" spans="1:12" x14ac:dyDescent="0.25">
      <c r="A378">
        <v>248.67109424447969</v>
      </c>
      <c r="B378">
        <v>265.17735148772914</v>
      </c>
      <c r="C378">
        <v>247.75092714504464</v>
      </c>
      <c r="D378">
        <v>257.58834508563638</v>
      </c>
      <c r="E378">
        <v>288.88360237080678</v>
      </c>
      <c r="F378">
        <v>265.46631383423892</v>
      </c>
      <c r="G378">
        <v>287.52850849023167</v>
      </c>
      <c r="H378">
        <v>282.45989849752289</v>
      </c>
      <c r="I378">
        <v>312.12523112302114</v>
      </c>
      <c r="J378">
        <v>326.04472824724843</v>
      </c>
      <c r="K378">
        <v>342.90810361319427</v>
      </c>
      <c r="L378">
        <v>401.41245028996127</v>
      </c>
    </row>
    <row r="379" spans="1:12" x14ac:dyDescent="0.25">
      <c r="A379">
        <v>252.4684323793204</v>
      </c>
      <c r="B379">
        <v>264.24556867024143</v>
      </c>
      <c r="C379">
        <v>235.14405999849089</v>
      </c>
      <c r="D379">
        <v>250.16166105549672</v>
      </c>
      <c r="E379">
        <v>283.21924166455392</v>
      </c>
      <c r="F379">
        <v>250.48228176571183</v>
      </c>
      <c r="G379">
        <v>275.40144822142571</v>
      </c>
      <c r="H379">
        <v>271.86706433945244</v>
      </c>
      <c r="I379">
        <v>302.80824211440677</v>
      </c>
      <c r="J379">
        <v>309.06671173368147</v>
      </c>
      <c r="K379">
        <v>330.84044068108295</v>
      </c>
      <c r="L379">
        <v>394.70433280025031</v>
      </c>
    </row>
    <row r="380" spans="1:12" x14ac:dyDescent="0.25">
      <c r="A380">
        <v>246.85007282845032</v>
      </c>
      <c r="B380">
        <v>270.24086620636433</v>
      </c>
      <c r="C380">
        <v>258.22302513916304</v>
      </c>
      <c r="D380">
        <v>253.04597127755028</v>
      </c>
      <c r="E380">
        <v>300.94133400103721</v>
      </c>
      <c r="F380">
        <v>271.01624826327514</v>
      </c>
      <c r="G380">
        <v>288.57071344729428</v>
      </c>
      <c r="H380">
        <v>289.88801726235022</v>
      </c>
      <c r="I380">
        <v>315.02859792347448</v>
      </c>
      <c r="J380">
        <v>315.22027837464088</v>
      </c>
      <c r="K380">
        <v>342.76802842176625</v>
      </c>
      <c r="L380">
        <v>406.12033098859325</v>
      </c>
    </row>
    <row r="381" spans="1:12" x14ac:dyDescent="0.25">
      <c r="A381">
        <v>238.95090693604629</v>
      </c>
      <c r="B381">
        <v>255.42778464768134</v>
      </c>
      <c r="C381">
        <v>231.18853530571792</v>
      </c>
      <c r="D381">
        <v>239.40861916221911</v>
      </c>
      <c r="E381">
        <v>289.17690647219251</v>
      </c>
      <c r="F381">
        <v>237.47185702057138</v>
      </c>
      <c r="G381">
        <v>258.89205015298899</v>
      </c>
      <c r="H381">
        <v>249.09684666789178</v>
      </c>
      <c r="I381">
        <v>273.858918906898</v>
      </c>
      <c r="J381">
        <v>290.52348507172599</v>
      </c>
      <c r="K381">
        <v>303.97275143818797</v>
      </c>
      <c r="L381">
        <v>355.43045067324641</v>
      </c>
    </row>
    <row r="382" spans="1:12" x14ac:dyDescent="0.25">
      <c r="A382">
        <v>264.29860092870211</v>
      </c>
      <c r="B382">
        <v>283.35233109402731</v>
      </c>
      <c r="C382">
        <v>263.94493482944574</v>
      </c>
      <c r="D382">
        <v>252.25935318934788</v>
      </c>
      <c r="E382">
        <v>304.61775006984016</v>
      </c>
      <c r="F382">
        <v>283.59804660424516</v>
      </c>
      <c r="G382">
        <v>265.679417550013</v>
      </c>
      <c r="H382">
        <v>285.6870247007077</v>
      </c>
      <c r="I382">
        <v>306.92722086601344</v>
      </c>
      <c r="J382">
        <v>333.79937733551719</v>
      </c>
      <c r="K382">
        <v>349.19804437844584</v>
      </c>
      <c r="L382">
        <v>417.95695336254403</v>
      </c>
    </row>
    <row r="383" spans="1:12" x14ac:dyDescent="0.25">
      <c r="A383">
        <v>251.78968565697107</v>
      </c>
      <c r="B383">
        <v>296.88828921723803</v>
      </c>
      <c r="C383">
        <v>248.23876157610761</v>
      </c>
      <c r="D383">
        <v>269.70563730539226</v>
      </c>
      <c r="E383">
        <v>298.6292330976226</v>
      </c>
      <c r="F383">
        <v>291.9662042842487</v>
      </c>
      <c r="G383">
        <v>301.34362401629778</v>
      </c>
      <c r="H383">
        <v>301.37369998768025</v>
      </c>
      <c r="I383">
        <v>324.0846919068241</v>
      </c>
      <c r="J383">
        <v>353.82372610148383</v>
      </c>
      <c r="K383">
        <v>359.10551139350883</v>
      </c>
      <c r="L383">
        <v>428.54508149149598</v>
      </c>
    </row>
    <row r="384" spans="1:12" x14ac:dyDescent="0.25">
      <c r="A384">
        <v>250.96589439682148</v>
      </c>
      <c r="B384">
        <v>257.63664632764784</v>
      </c>
      <c r="C384">
        <v>233.66615288447838</v>
      </c>
      <c r="D384">
        <v>231.8392143470235</v>
      </c>
      <c r="E384">
        <v>267.87546910706141</v>
      </c>
      <c r="F384">
        <v>243.28937817130384</v>
      </c>
      <c r="G384">
        <v>244.37001005920055</v>
      </c>
      <c r="H384">
        <v>256.58355185813872</v>
      </c>
      <c r="I384">
        <v>274.89293922330495</v>
      </c>
      <c r="J384">
        <v>274.80304450001165</v>
      </c>
      <c r="K384">
        <v>297.05439203683841</v>
      </c>
      <c r="L384">
        <v>328.55630092691416</v>
      </c>
    </row>
    <row r="385" spans="1:12" x14ac:dyDescent="0.25">
      <c r="A385">
        <v>244.63880923601045</v>
      </c>
      <c r="B385">
        <v>261.81296823133357</v>
      </c>
      <c r="C385">
        <v>236.99228066746471</v>
      </c>
      <c r="D385">
        <v>226.47243064885754</v>
      </c>
      <c r="E385">
        <v>263.40334064958626</v>
      </c>
      <c r="F385">
        <v>238.58524368931458</v>
      </c>
      <c r="G385">
        <v>253.28516434124072</v>
      </c>
      <c r="H385">
        <v>261.15123065871933</v>
      </c>
      <c r="I385">
        <v>276.86364351738621</v>
      </c>
      <c r="J385">
        <v>275.87720572302823</v>
      </c>
      <c r="K385">
        <v>305.09053442132688</v>
      </c>
      <c r="L385">
        <v>320.22494678686627</v>
      </c>
    </row>
    <row r="386" spans="1:12" x14ac:dyDescent="0.25">
      <c r="A386">
        <v>238.83310583576511</v>
      </c>
      <c r="B386">
        <v>277.04013299812959</v>
      </c>
      <c r="C386">
        <v>227.8402618091564</v>
      </c>
      <c r="D386">
        <v>242.18766998494061</v>
      </c>
      <c r="E386">
        <v>289.66872513651191</v>
      </c>
      <c r="F386">
        <v>227.3056459720037</v>
      </c>
      <c r="G386">
        <v>239.78585332015388</v>
      </c>
      <c r="H386">
        <v>262.00376194685879</v>
      </c>
      <c r="I386">
        <v>276.80236955626464</v>
      </c>
      <c r="J386">
        <v>287.17789912652603</v>
      </c>
      <c r="K386">
        <v>307.99975236698265</v>
      </c>
      <c r="L386">
        <v>361.36881486501568</v>
      </c>
    </row>
    <row r="387" spans="1:12" x14ac:dyDescent="0.25">
      <c r="A387">
        <v>239.75195509499898</v>
      </c>
      <c r="B387">
        <v>278.45231650681779</v>
      </c>
      <c r="C387">
        <v>252.96771973793852</v>
      </c>
      <c r="D387">
        <v>243.49878082760162</v>
      </c>
      <c r="E387">
        <v>291.42397563508121</v>
      </c>
      <c r="F387">
        <v>244.67243983950669</v>
      </c>
      <c r="G387">
        <v>276.0636812723443</v>
      </c>
      <c r="H387">
        <v>267.9658178870672</v>
      </c>
      <c r="I387">
        <v>296.39662656716411</v>
      </c>
      <c r="J387">
        <v>293.71087678259846</v>
      </c>
      <c r="K387">
        <v>338.7668269392916</v>
      </c>
      <c r="L387">
        <v>362.21281867821972</v>
      </c>
    </row>
    <row r="388" spans="1:12" x14ac:dyDescent="0.25">
      <c r="A388">
        <v>248.42722780020833</v>
      </c>
      <c r="B388">
        <v>267.37947304176828</v>
      </c>
      <c r="C388">
        <v>230.15574357116526</v>
      </c>
      <c r="D388">
        <v>235.37037630694374</v>
      </c>
      <c r="E388">
        <v>279.68965958385513</v>
      </c>
      <c r="F388">
        <v>241.30302530687757</v>
      </c>
      <c r="G388">
        <v>263.88131596132797</v>
      </c>
      <c r="H388">
        <v>266.5846516104553</v>
      </c>
      <c r="I388">
        <v>284.87970886871375</v>
      </c>
      <c r="J388">
        <v>283.02918789935092</v>
      </c>
      <c r="K388">
        <v>312.41958607566607</v>
      </c>
      <c r="L388">
        <v>370.4308433273286</v>
      </c>
    </row>
    <row r="389" spans="1:12" x14ac:dyDescent="0.25">
      <c r="A389">
        <v>242.20495863399188</v>
      </c>
      <c r="B389">
        <v>277.60344199978726</v>
      </c>
      <c r="C389">
        <v>255.66616197236993</v>
      </c>
      <c r="D389">
        <v>240.62918232980169</v>
      </c>
      <c r="E389">
        <v>289.72043321215642</v>
      </c>
      <c r="F389">
        <v>261.60397348218083</v>
      </c>
      <c r="G389">
        <v>260.08204461671636</v>
      </c>
      <c r="H389">
        <v>289.48743569565841</v>
      </c>
      <c r="I389">
        <v>311.64875907312012</v>
      </c>
      <c r="J389">
        <v>323.48855066992104</v>
      </c>
      <c r="K389">
        <v>334.66972679436009</v>
      </c>
      <c r="L389">
        <v>391.87537660234716</v>
      </c>
    </row>
    <row r="390" spans="1:12" x14ac:dyDescent="0.25">
      <c r="A390">
        <v>248.44907271634005</v>
      </c>
      <c r="B390">
        <v>277.92626404112843</v>
      </c>
      <c r="C390">
        <v>249.21831617205305</v>
      </c>
      <c r="D390">
        <v>240.96399665203225</v>
      </c>
      <c r="E390">
        <v>302.4011499645091</v>
      </c>
      <c r="F390">
        <v>256.1245028547753</v>
      </c>
      <c r="G390">
        <v>276.39611121988003</v>
      </c>
      <c r="H390">
        <v>274.3914173642678</v>
      </c>
      <c r="I390">
        <v>292.54985508815184</v>
      </c>
      <c r="J390">
        <v>326.11648309856344</v>
      </c>
      <c r="K390">
        <v>327.46112007156739</v>
      </c>
      <c r="L390">
        <v>378.90117973386702</v>
      </c>
    </row>
    <row r="391" spans="1:12" x14ac:dyDescent="0.25">
      <c r="A391">
        <v>242.31854809349554</v>
      </c>
      <c r="B391">
        <v>263.36912505393775</v>
      </c>
      <c r="C391">
        <v>247.93178296739313</v>
      </c>
      <c r="D391">
        <v>249.27832897036819</v>
      </c>
      <c r="E391">
        <v>291.17332617333852</v>
      </c>
      <c r="F391">
        <v>252.6091613727769</v>
      </c>
      <c r="G391">
        <v>246.28187866970052</v>
      </c>
      <c r="H391">
        <v>244.97739951005218</v>
      </c>
      <c r="I391">
        <v>277.84589048772557</v>
      </c>
      <c r="J391">
        <v>274.60653368817253</v>
      </c>
      <c r="K391">
        <v>290.30202798721098</v>
      </c>
      <c r="L391">
        <v>328.97914293138638</v>
      </c>
    </row>
    <row r="392" spans="1:12" x14ac:dyDescent="0.25">
      <c r="A392">
        <v>243.75156408583427</v>
      </c>
      <c r="B392">
        <v>268.67222454420272</v>
      </c>
      <c r="C392">
        <v>254.80130144886331</v>
      </c>
      <c r="D392">
        <v>230.34941047171884</v>
      </c>
      <c r="E392">
        <v>275.93019921801442</v>
      </c>
      <c r="F392">
        <v>240.17594179832881</v>
      </c>
      <c r="G392">
        <v>238.40233357878128</v>
      </c>
      <c r="H392">
        <v>247.78108547958649</v>
      </c>
      <c r="I392">
        <v>271.52329245450568</v>
      </c>
      <c r="J392">
        <v>277.46629044299601</v>
      </c>
      <c r="K392">
        <v>283.21293348421165</v>
      </c>
      <c r="L392">
        <v>330.67713445763292</v>
      </c>
    </row>
    <row r="393" spans="1:12" x14ac:dyDescent="0.25">
      <c r="A393">
        <v>254.21602600899539</v>
      </c>
      <c r="B393">
        <v>266.34728085270632</v>
      </c>
      <c r="C393">
        <v>244.883624950452</v>
      </c>
      <c r="D393">
        <v>230.54801887836115</v>
      </c>
      <c r="E393">
        <v>282.38329578749949</v>
      </c>
      <c r="F393">
        <v>268.54827903360149</v>
      </c>
      <c r="G393">
        <v>244.03324446268383</v>
      </c>
      <c r="H393">
        <v>268.63453470720685</v>
      </c>
      <c r="I393">
        <v>279.93659462806414</v>
      </c>
      <c r="J393">
        <v>296.45341544661949</v>
      </c>
      <c r="K393">
        <v>327.55136925595855</v>
      </c>
      <c r="L393">
        <v>380.68102691576439</v>
      </c>
    </row>
    <row r="394" spans="1:12" x14ac:dyDescent="0.25">
      <c r="A394">
        <v>250.2581384148493</v>
      </c>
      <c r="B394">
        <v>281.9569909903388</v>
      </c>
      <c r="C394">
        <v>261.27416329539801</v>
      </c>
      <c r="D394">
        <v>244.85563358012305</v>
      </c>
      <c r="E394">
        <v>312.79635018402519</v>
      </c>
      <c r="F394">
        <v>275.87993346415027</v>
      </c>
      <c r="G394">
        <v>292.05234625822834</v>
      </c>
      <c r="H394">
        <v>294.29750291839792</v>
      </c>
      <c r="I394">
        <v>301.96027360343663</v>
      </c>
      <c r="J394">
        <v>339.64571091736201</v>
      </c>
      <c r="K394">
        <v>351.09764785845084</v>
      </c>
      <c r="L394">
        <v>429.00829923219618</v>
      </c>
    </row>
    <row r="395" spans="1:12" x14ac:dyDescent="0.25">
      <c r="A395">
        <v>255.91243995806747</v>
      </c>
      <c r="B395">
        <v>259.07191690786181</v>
      </c>
      <c r="C395">
        <v>249.55321448937502</v>
      </c>
      <c r="D395">
        <v>248.83347284956744</v>
      </c>
      <c r="E395">
        <v>276.97582860312576</v>
      </c>
      <c r="F395">
        <v>256.22552329333649</v>
      </c>
      <c r="G395">
        <v>274.94983380449497</v>
      </c>
      <c r="H395">
        <v>266.43569466625337</v>
      </c>
      <c r="I395">
        <v>285.7815812508166</v>
      </c>
      <c r="J395">
        <v>294.7346421631982</v>
      </c>
      <c r="K395">
        <v>323.57480816337119</v>
      </c>
      <c r="L395">
        <v>359.83671575016325</v>
      </c>
    </row>
    <row r="396" spans="1:12" x14ac:dyDescent="0.25">
      <c r="A396">
        <v>231.62378711510809</v>
      </c>
      <c r="B396">
        <v>264.25434903385013</v>
      </c>
      <c r="C396">
        <v>225.41095488358604</v>
      </c>
      <c r="D396">
        <v>221.05530444885292</v>
      </c>
      <c r="E396">
        <v>259.01763215925865</v>
      </c>
      <c r="F396">
        <v>216.6380736839389</v>
      </c>
      <c r="G396">
        <v>230.17394926762589</v>
      </c>
      <c r="H396">
        <v>230.74610035282447</v>
      </c>
      <c r="I396">
        <v>230.97682676208834</v>
      </c>
      <c r="J396">
        <v>260.08785994380509</v>
      </c>
      <c r="K396">
        <v>259.43044140175886</v>
      </c>
      <c r="L396">
        <v>302.71771224464283</v>
      </c>
    </row>
    <row r="397" spans="1:12" x14ac:dyDescent="0.25">
      <c r="A397">
        <v>237.35440081294703</v>
      </c>
      <c r="B397">
        <v>257.0834037542312</v>
      </c>
      <c r="C397">
        <v>236.5712500039391</v>
      </c>
      <c r="D397">
        <v>231.23612160279086</v>
      </c>
      <c r="E397">
        <v>280.57433188188571</v>
      </c>
      <c r="F397">
        <v>249.57842655815537</v>
      </c>
      <c r="G397">
        <v>254.98386842915801</v>
      </c>
      <c r="H397">
        <v>261.38237626147475</v>
      </c>
      <c r="I397">
        <v>261.90170212819578</v>
      </c>
      <c r="J397">
        <v>292.51307763145837</v>
      </c>
      <c r="K397">
        <v>296.87347322976723</v>
      </c>
      <c r="L397">
        <v>361.96648774810023</v>
      </c>
    </row>
    <row r="398" spans="1:12" x14ac:dyDescent="0.25">
      <c r="A398">
        <v>229.20809410565937</v>
      </c>
      <c r="B398">
        <v>262.32355565570163</v>
      </c>
      <c r="C398">
        <v>240.29514164299243</v>
      </c>
      <c r="D398">
        <v>243.59822633241942</v>
      </c>
      <c r="E398">
        <v>267.38547129145309</v>
      </c>
      <c r="F398">
        <v>224.47152592164701</v>
      </c>
      <c r="G398">
        <v>253.08703048214988</v>
      </c>
      <c r="H398">
        <v>252.48779874940666</v>
      </c>
      <c r="I398">
        <v>268.36048722179942</v>
      </c>
      <c r="J398">
        <v>287.38255961851746</v>
      </c>
      <c r="K398">
        <v>298.24157777677732</v>
      </c>
      <c r="L398">
        <v>333.21767121864031</v>
      </c>
    </row>
    <row r="399" spans="1:12" x14ac:dyDescent="0.25">
      <c r="A399">
        <v>239.29529057585512</v>
      </c>
      <c r="B399">
        <v>259.70315862929056</v>
      </c>
      <c r="C399">
        <v>245.93144600756153</v>
      </c>
      <c r="D399">
        <v>241.15228724154693</v>
      </c>
      <c r="E399">
        <v>276.97355167249663</v>
      </c>
      <c r="F399">
        <v>243.23939456710826</v>
      </c>
      <c r="G399">
        <v>274.45400061858902</v>
      </c>
      <c r="H399">
        <v>267.87227612150195</v>
      </c>
      <c r="I399">
        <v>296.32721635945751</v>
      </c>
      <c r="J399">
        <v>304.68532997542167</v>
      </c>
      <c r="K399">
        <v>329.02767647915056</v>
      </c>
      <c r="L399">
        <v>395.11325887417257</v>
      </c>
    </row>
    <row r="400" spans="1:12" x14ac:dyDescent="0.25">
      <c r="A400">
        <v>238.65691451442916</v>
      </c>
      <c r="B400">
        <v>277.15878256751404</v>
      </c>
      <c r="C400">
        <v>245.25461877759162</v>
      </c>
      <c r="D400">
        <v>261.2453870871326</v>
      </c>
      <c r="E400">
        <v>304.80350135691356</v>
      </c>
      <c r="F400">
        <v>280.74930498352234</v>
      </c>
      <c r="G400">
        <v>267.97734392608555</v>
      </c>
      <c r="H400">
        <v>293.19090565444424</v>
      </c>
      <c r="I400">
        <v>322.74308828587533</v>
      </c>
      <c r="J400">
        <v>332.93546200686188</v>
      </c>
      <c r="K400">
        <v>344.24698672176709</v>
      </c>
      <c r="L400">
        <v>415.31499413752294</v>
      </c>
    </row>
    <row r="401" spans="1:12" x14ac:dyDescent="0.25">
      <c r="A401">
        <v>249.74556733796479</v>
      </c>
      <c r="B401">
        <v>264.8286093065978</v>
      </c>
      <c r="C401">
        <v>234.2792434897359</v>
      </c>
      <c r="D401">
        <v>235.70954309476352</v>
      </c>
      <c r="E401">
        <v>277.79138178143643</v>
      </c>
      <c r="F401">
        <v>219.83564283477412</v>
      </c>
      <c r="G401">
        <v>233.40904445511816</v>
      </c>
      <c r="H401">
        <v>232.4625112840655</v>
      </c>
      <c r="I401">
        <v>254.4306409826923</v>
      </c>
      <c r="J401">
        <v>254.33271038140813</v>
      </c>
      <c r="K401">
        <v>264.13345612016212</v>
      </c>
      <c r="L401">
        <v>316.88146158597976</v>
      </c>
    </row>
    <row r="402" spans="1:12" x14ac:dyDescent="0.25">
      <c r="A402">
        <v>242.65234825886427</v>
      </c>
      <c r="B402">
        <v>271.97589925792749</v>
      </c>
      <c r="C402">
        <v>250.13536940764038</v>
      </c>
      <c r="D402">
        <v>255.95763911014166</v>
      </c>
      <c r="E402">
        <v>289.78925246804096</v>
      </c>
      <c r="F402">
        <v>261.34773524508313</v>
      </c>
      <c r="G402">
        <v>279.63713642280226</v>
      </c>
      <c r="H402">
        <v>299.80076431467717</v>
      </c>
      <c r="I402">
        <v>309.27557928806289</v>
      </c>
      <c r="J402">
        <v>338.39261973895429</v>
      </c>
      <c r="K402">
        <v>364.66414580280485</v>
      </c>
      <c r="L402">
        <v>428.26725032198442</v>
      </c>
    </row>
    <row r="403" spans="1:12" x14ac:dyDescent="0.25">
      <c r="A403">
        <v>244.06429604416041</v>
      </c>
      <c r="B403">
        <v>267.68541916034911</v>
      </c>
      <c r="C403">
        <v>251.66921107273032</v>
      </c>
      <c r="D403">
        <v>271.07165178408019</v>
      </c>
      <c r="E403">
        <v>290.19265491054091</v>
      </c>
      <c r="F403">
        <v>272.68150682631449</v>
      </c>
      <c r="G403">
        <v>292.87801769273926</v>
      </c>
      <c r="H403">
        <v>292.9953624750554</v>
      </c>
      <c r="I403">
        <v>328.57816025801355</v>
      </c>
      <c r="J403">
        <v>323.51754825468419</v>
      </c>
      <c r="K403">
        <v>377.84989419894794</v>
      </c>
      <c r="L403">
        <v>427.70972472855635</v>
      </c>
    </row>
    <row r="404" spans="1:12" x14ac:dyDescent="0.25">
      <c r="A404">
        <v>238.82988548164235</v>
      </c>
      <c r="B404">
        <v>277.49407682372248</v>
      </c>
      <c r="C404">
        <v>255.86091703965178</v>
      </c>
      <c r="D404">
        <v>235.70487467063083</v>
      </c>
      <c r="E404">
        <v>272.82861494027395</v>
      </c>
      <c r="F404">
        <v>257.272317684347</v>
      </c>
      <c r="G404">
        <v>262.44619459332995</v>
      </c>
      <c r="H404">
        <v>263.28386813148785</v>
      </c>
      <c r="I404">
        <v>311.65537805213887</v>
      </c>
      <c r="J404">
        <v>305.6077417724498</v>
      </c>
      <c r="K404">
        <v>331.66450614237766</v>
      </c>
      <c r="L404">
        <v>369.30155937211026</v>
      </c>
    </row>
    <row r="405" spans="1:12" x14ac:dyDescent="0.25">
      <c r="A405">
        <v>259.39231263675447</v>
      </c>
      <c r="B405">
        <v>254.03839461608436</v>
      </c>
      <c r="C405">
        <v>235.88804829274429</v>
      </c>
      <c r="D405">
        <v>237.38633916056432</v>
      </c>
      <c r="E405">
        <v>278.44658987595216</v>
      </c>
      <c r="F405">
        <v>258.68410246907877</v>
      </c>
      <c r="G405">
        <v>255.69785857513531</v>
      </c>
      <c r="H405">
        <v>255.05831193729068</v>
      </c>
      <c r="I405">
        <v>292.58918711817802</v>
      </c>
      <c r="J405">
        <v>294.28678601848924</v>
      </c>
      <c r="K405">
        <v>312.09959421299254</v>
      </c>
      <c r="L405">
        <v>379.5788851844024</v>
      </c>
    </row>
    <row r="406" spans="1:12" x14ac:dyDescent="0.25">
      <c r="A406">
        <v>231.9019225268062</v>
      </c>
      <c r="B406">
        <v>271.74325886322055</v>
      </c>
      <c r="C406">
        <v>226.28709731266585</v>
      </c>
      <c r="D406">
        <v>243.76590015163251</v>
      </c>
      <c r="E406">
        <v>288.24131282541043</v>
      </c>
      <c r="F406">
        <v>260.63261328456497</v>
      </c>
      <c r="G406">
        <v>241.63620950824554</v>
      </c>
      <c r="H406">
        <v>250.60423168491837</v>
      </c>
      <c r="I406">
        <v>273.82189437111663</v>
      </c>
      <c r="J406">
        <v>296.19779205215229</v>
      </c>
      <c r="K406">
        <v>308.18379311056452</v>
      </c>
      <c r="L406">
        <v>364.2575767572917</v>
      </c>
    </row>
    <row r="407" spans="1:12" x14ac:dyDescent="0.25">
      <c r="A407">
        <v>253.16261758307024</v>
      </c>
      <c r="B407">
        <v>252.07661700210789</v>
      </c>
      <c r="C407">
        <v>243.16490346134822</v>
      </c>
      <c r="D407">
        <v>218.57068405067338</v>
      </c>
      <c r="E407">
        <v>269.38167843510229</v>
      </c>
      <c r="F407">
        <v>227.37319149068364</v>
      </c>
      <c r="G407">
        <v>241.64119674346429</v>
      </c>
      <c r="H407">
        <v>249.41787351073475</v>
      </c>
      <c r="I407">
        <v>267.02308732172366</v>
      </c>
      <c r="J407">
        <v>271.62091228321344</v>
      </c>
      <c r="K407">
        <v>275.66846501460083</v>
      </c>
      <c r="L407">
        <v>317.78443115750639</v>
      </c>
    </row>
    <row r="408" spans="1:12" x14ac:dyDescent="0.25">
      <c r="A408">
        <v>223.73410094716158</v>
      </c>
      <c r="B408">
        <v>254.87208230534668</v>
      </c>
      <c r="C408">
        <v>228.63042575746786</v>
      </c>
      <c r="D408">
        <v>209.08035068298054</v>
      </c>
      <c r="E408">
        <v>250.47340215616009</v>
      </c>
      <c r="F408">
        <v>227.38469799292972</v>
      </c>
      <c r="G408">
        <v>223.23688184723215</v>
      </c>
      <c r="H408">
        <v>201.49695328575675</v>
      </c>
      <c r="I408">
        <v>221.70870968280968</v>
      </c>
      <c r="J408">
        <v>233.76673690991828</v>
      </c>
      <c r="K408">
        <v>246.8107223024989</v>
      </c>
      <c r="L408">
        <v>268.33062949774273</v>
      </c>
    </row>
    <row r="409" spans="1:12" x14ac:dyDescent="0.25">
      <c r="A409">
        <v>243.16724474210952</v>
      </c>
      <c r="B409">
        <v>249.51065503653064</v>
      </c>
      <c r="C409">
        <v>238.51653462484708</v>
      </c>
      <c r="D409">
        <v>246.61608872389576</v>
      </c>
      <c r="E409">
        <v>294.15454541614537</v>
      </c>
      <c r="F409">
        <v>262.76889992321532</v>
      </c>
      <c r="G409">
        <v>244.02765786411155</v>
      </c>
      <c r="H409">
        <v>255.10987071997531</v>
      </c>
      <c r="I409">
        <v>279.88558725581782</v>
      </c>
      <c r="J409">
        <v>286.46351258354139</v>
      </c>
      <c r="K409">
        <v>300.09783684779774</v>
      </c>
      <c r="L409">
        <v>358.62009054540988</v>
      </c>
    </row>
    <row r="410" spans="1:12" x14ac:dyDescent="0.25">
      <c r="A410">
        <v>250.07901271043647</v>
      </c>
      <c r="B410">
        <v>268.72783153538558</v>
      </c>
      <c r="C410">
        <v>251.12279843324779</v>
      </c>
      <c r="D410">
        <v>248.54303467220964</v>
      </c>
      <c r="E410">
        <v>290.10559258541025</v>
      </c>
      <c r="F410">
        <v>237.52403349386563</v>
      </c>
      <c r="G410">
        <v>255.65088552278925</v>
      </c>
      <c r="H410">
        <v>257.01083894787661</v>
      </c>
      <c r="I410">
        <v>297.68549565457249</v>
      </c>
      <c r="J410">
        <v>312.92462910806881</v>
      </c>
      <c r="K410">
        <v>305.54616328274972</v>
      </c>
      <c r="L410">
        <v>363.55385501754364</v>
      </c>
    </row>
    <row r="411" spans="1:12" x14ac:dyDescent="0.25">
      <c r="A411">
        <v>227.33761704188569</v>
      </c>
      <c r="B411">
        <v>261.43719741893341</v>
      </c>
      <c r="C411">
        <v>226.50149479443655</v>
      </c>
      <c r="D411">
        <v>255.79165605085615</v>
      </c>
      <c r="E411">
        <v>274.0411177396939</v>
      </c>
      <c r="F411">
        <v>250.1271808594995</v>
      </c>
      <c r="G411">
        <v>246.6620243925835</v>
      </c>
      <c r="H411">
        <v>257.04718954873618</v>
      </c>
      <c r="I411">
        <v>294.89576751739679</v>
      </c>
      <c r="J411">
        <v>295.17500261301217</v>
      </c>
      <c r="K411">
        <v>310.81372236870448</v>
      </c>
      <c r="L411">
        <v>373.61958744047911</v>
      </c>
    </row>
    <row r="412" spans="1:12" x14ac:dyDescent="0.25">
      <c r="A412">
        <v>238.09223246264926</v>
      </c>
      <c r="B412">
        <v>246.72533642292217</v>
      </c>
      <c r="C412">
        <v>233.1306033344525</v>
      </c>
      <c r="D412">
        <v>229.76907555085668</v>
      </c>
      <c r="E412">
        <v>264.86186350183567</v>
      </c>
      <c r="F412">
        <v>257.16341218370781</v>
      </c>
      <c r="G412">
        <v>237.79695936645558</v>
      </c>
      <c r="H412">
        <v>271.56800349255781</v>
      </c>
      <c r="I412">
        <v>259.31405797673278</v>
      </c>
      <c r="J412">
        <v>263.87478343441353</v>
      </c>
      <c r="K412">
        <v>306.39728638888221</v>
      </c>
      <c r="L412">
        <v>347.39260625925391</v>
      </c>
    </row>
    <row r="413" spans="1:12" x14ac:dyDescent="0.25">
      <c r="A413">
        <v>236.99986643978048</v>
      </c>
      <c r="B413">
        <v>256.04288257577565</v>
      </c>
      <c r="C413">
        <v>222.87151040212206</v>
      </c>
      <c r="D413">
        <v>235.09353578852361</v>
      </c>
      <c r="E413">
        <v>273.25179728219706</v>
      </c>
      <c r="F413">
        <v>234.53736934667668</v>
      </c>
      <c r="G413">
        <v>245.40205005694648</v>
      </c>
      <c r="H413">
        <v>227.13038182949009</v>
      </c>
      <c r="I413">
        <v>253.32181640251454</v>
      </c>
      <c r="J413">
        <v>279.49747365119708</v>
      </c>
      <c r="K413">
        <v>262.65142024735201</v>
      </c>
      <c r="L413">
        <v>320.98420372097894</v>
      </c>
    </row>
    <row r="414" spans="1:12" x14ac:dyDescent="0.25">
      <c r="A414">
        <v>246.07597469557717</v>
      </c>
      <c r="B414">
        <v>247.30930631721418</v>
      </c>
      <c r="C414">
        <v>238.25342957194314</v>
      </c>
      <c r="D414">
        <v>249.14214359883101</v>
      </c>
      <c r="E414">
        <v>291.46885328007551</v>
      </c>
      <c r="F414">
        <v>244.0805058862347</v>
      </c>
      <c r="G414">
        <v>261.89555928534014</v>
      </c>
      <c r="H414">
        <v>270.96186045053247</v>
      </c>
      <c r="I414">
        <v>304.78952907284656</v>
      </c>
      <c r="J414">
        <v>309.81107433381374</v>
      </c>
      <c r="K414">
        <v>331.79796715660149</v>
      </c>
      <c r="L414">
        <v>383.91891717901314</v>
      </c>
    </row>
    <row r="415" spans="1:12" x14ac:dyDescent="0.25">
      <c r="A415">
        <v>248.97353020401866</v>
      </c>
      <c r="B415">
        <v>280.44002291702077</v>
      </c>
      <c r="C415">
        <v>263.60304517359418</v>
      </c>
      <c r="D415">
        <v>258.00901366049993</v>
      </c>
      <c r="E415">
        <v>309.10918829259379</v>
      </c>
      <c r="F415">
        <v>270.69588639931942</v>
      </c>
      <c r="G415">
        <v>275.46715556742015</v>
      </c>
      <c r="H415">
        <v>293.42264439397451</v>
      </c>
      <c r="I415">
        <v>319.44866307516844</v>
      </c>
      <c r="J415">
        <v>333.58989770909841</v>
      </c>
      <c r="K415">
        <v>340.480866472598</v>
      </c>
      <c r="L415">
        <v>413.99294051198558</v>
      </c>
    </row>
    <row r="416" spans="1:12" x14ac:dyDescent="0.25">
      <c r="A416">
        <v>228.50259744633479</v>
      </c>
      <c r="B416">
        <v>263.9039460222678</v>
      </c>
      <c r="C416">
        <v>252.39611795056334</v>
      </c>
      <c r="D416">
        <v>250.36670259477387</v>
      </c>
      <c r="E416">
        <v>277.49031943087004</v>
      </c>
      <c r="F416">
        <v>253.80626104244504</v>
      </c>
      <c r="G416">
        <v>257.84617148440975</v>
      </c>
      <c r="H416">
        <v>259.73492537406736</v>
      </c>
      <c r="I416">
        <v>285.9689605747472</v>
      </c>
      <c r="J416">
        <v>301.41145363665538</v>
      </c>
      <c r="K416">
        <v>306.92477600516287</v>
      </c>
      <c r="L416">
        <v>346.47556068273434</v>
      </c>
    </row>
    <row r="417" spans="1:12" x14ac:dyDescent="0.25">
      <c r="A417">
        <v>227.40347631799844</v>
      </c>
      <c r="B417">
        <v>257.22312273686674</v>
      </c>
      <c r="C417">
        <v>240.70649308139744</v>
      </c>
      <c r="D417">
        <v>242.51901048205289</v>
      </c>
      <c r="E417">
        <v>275.1770009772261</v>
      </c>
      <c r="F417">
        <v>227.29294176484183</v>
      </c>
      <c r="G417">
        <v>238.54281171635887</v>
      </c>
      <c r="H417">
        <v>251.6415381678685</v>
      </c>
      <c r="I417">
        <v>254.98188003839942</v>
      </c>
      <c r="J417">
        <v>266.63887611320467</v>
      </c>
      <c r="K417">
        <v>291.09083320720742</v>
      </c>
      <c r="L417">
        <v>322.18796522591674</v>
      </c>
    </row>
    <row r="418" spans="1:12" x14ac:dyDescent="0.25">
      <c r="A418">
        <v>255.42832378942256</v>
      </c>
      <c r="B418">
        <v>242.55666864292064</v>
      </c>
      <c r="C418">
        <v>242.20076603354497</v>
      </c>
      <c r="D418">
        <v>229.46009630332193</v>
      </c>
      <c r="E418">
        <v>272.89930435534922</v>
      </c>
      <c r="F418">
        <v>240.45442568342585</v>
      </c>
      <c r="G418">
        <v>248.05181782377278</v>
      </c>
      <c r="H418">
        <v>240.80092961642558</v>
      </c>
      <c r="I418">
        <v>277.97904055253287</v>
      </c>
      <c r="J418">
        <v>287.8407715122184</v>
      </c>
      <c r="K418">
        <v>291.56535533851979</v>
      </c>
      <c r="L418">
        <v>339.97867516446047</v>
      </c>
    </row>
    <row r="419" spans="1:12" x14ac:dyDescent="0.25">
      <c r="A419">
        <v>262.73621359331503</v>
      </c>
      <c r="B419">
        <v>277.529112754317</v>
      </c>
      <c r="C419">
        <v>250.96635807419017</v>
      </c>
      <c r="D419">
        <v>233.34690679950697</v>
      </c>
      <c r="E419">
        <v>295.43299684681216</v>
      </c>
      <c r="F419">
        <v>257.71714810791832</v>
      </c>
      <c r="G419">
        <v>270.91452414695129</v>
      </c>
      <c r="H419">
        <v>265.63211329946455</v>
      </c>
      <c r="I419">
        <v>293.16586329145531</v>
      </c>
      <c r="J419">
        <v>305.41843934655446</v>
      </c>
      <c r="K419">
        <v>340.2056560406308</v>
      </c>
      <c r="L419">
        <v>365.93941901876815</v>
      </c>
    </row>
    <row r="420" spans="1:12" x14ac:dyDescent="0.25">
      <c r="A420">
        <v>213.0900804835446</v>
      </c>
      <c r="B420">
        <v>234.7875069062078</v>
      </c>
      <c r="C420">
        <v>231.74269719405436</v>
      </c>
      <c r="D420">
        <v>234.12428611539053</v>
      </c>
      <c r="E420">
        <v>268.18069279033733</v>
      </c>
      <c r="F420">
        <v>236.02319285111648</v>
      </c>
      <c r="G420">
        <v>219.24829223035726</v>
      </c>
      <c r="H420">
        <v>234.05129768836176</v>
      </c>
      <c r="I420">
        <v>256.05616738142788</v>
      </c>
      <c r="J420">
        <v>277.81385436609349</v>
      </c>
      <c r="K420">
        <v>280.33996700309257</v>
      </c>
      <c r="L420">
        <v>316.10243738748045</v>
      </c>
    </row>
    <row r="421" spans="1:12" x14ac:dyDescent="0.25">
      <c r="A421">
        <v>247.21396850323617</v>
      </c>
      <c r="B421">
        <v>260.59370786242971</v>
      </c>
      <c r="C421">
        <v>235.3141643757333</v>
      </c>
      <c r="D421">
        <v>232.21907844727735</v>
      </c>
      <c r="E421">
        <v>269.15498442787117</v>
      </c>
      <c r="F421">
        <v>230.32611047851145</v>
      </c>
      <c r="G421">
        <v>252.88645455483001</v>
      </c>
      <c r="H421">
        <v>242.22435771045215</v>
      </c>
      <c r="I421">
        <v>268.7550303430977</v>
      </c>
      <c r="J421">
        <v>286.84636393931214</v>
      </c>
      <c r="K421">
        <v>292.95261232793217</v>
      </c>
      <c r="L421">
        <v>342.38219335671829</v>
      </c>
    </row>
    <row r="422" spans="1:12" x14ac:dyDescent="0.25">
      <c r="A422">
        <v>236.84684185973148</v>
      </c>
      <c r="B422">
        <v>244.48725788122911</v>
      </c>
      <c r="C422">
        <v>252.41476840176108</v>
      </c>
      <c r="D422">
        <v>241.44564212628993</v>
      </c>
      <c r="E422">
        <v>285.49007710143252</v>
      </c>
      <c r="F422">
        <v>253.87688963312641</v>
      </c>
      <c r="G422">
        <v>263.55556376459515</v>
      </c>
      <c r="H422">
        <v>279.25592695216466</v>
      </c>
      <c r="I422">
        <v>299.50772682874509</v>
      </c>
      <c r="J422">
        <v>307.59161591316303</v>
      </c>
      <c r="K422">
        <v>338.05032025537082</v>
      </c>
      <c r="L422">
        <v>405.96552102939069</v>
      </c>
    </row>
    <row r="423" spans="1:12" x14ac:dyDescent="0.25">
      <c r="A423">
        <v>248.890223202746</v>
      </c>
      <c r="B423">
        <v>263.37009441943206</v>
      </c>
      <c r="C423">
        <v>258.21002644386994</v>
      </c>
      <c r="D423">
        <v>236.5523411651856</v>
      </c>
      <c r="E423">
        <v>271.20501651070242</v>
      </c>
      <c r="F423">
        <v>255.73616477401572</v>
      </c>
      <c r="G423">
        <v>251.37450818143071</v>
      </c>
      <c r="H423">
        <v>242.99719912191452</v>
      </c>
      <c r="I423">
        <v>280.22344021642476</v>
      </c>
      <c r="J423">
        <v>290.8718775707369</v>
      </c>
      <c r="K423">
        <v>285.70115964040866</v>
      </c>
      <c r="L423">
        <v>329.50321147379714</v>
      </c>
    </row>
    <row r="424" spans="1:12" x14ac:dyDescent="0.25">
      <c r="A424">
        <v>239.41033919426485</v>
      </c>
      <c r="B424">
        <v>255.26148076886358</v>
      </c>
      <c r="C424">
        <v>235.39858600857045</v>
      </c>
      <c r="D424">
        <v>228.96152972189128</v>
      </c>
      <c r="E424">
        <v>279.67374416531788</v>
      </c>
      <c r="F424">
        <v>241.93919555567155</v>
      </c>
      <c r="G424">
        <v>238.8969318219566</v>
      </c>
      <c r="H424">
        <v>245.84352664443011</v>
      </c>
      <c r="I424">
        <v>273.51336168655888</v>
      </c>
      <c r="J424">
        <v>285.54216891779089</v>
      </c>
      <c r="K424">
        <v>287.70880300848461</v>
      </c>
      <c r="L424">
        <v>328.89384928125855</v>
      </c>
    </row>
    <row r="425" spans="1:12" x14ac:dyDescent="0.25">
      <c r="A425">
        <v>251.77127896371101</v>
      </c>
      <c r="B425">
        <v>281.7255952725219</v>
      </c>
      <c r="C425">
        <v>243.17441563224801</v>
      </c>
      <c r="D425">
        <v>263.02713567534101</v>
      </c>
      <c r="E425">
        <v>316.03656287067582</v>
      </c>
      <c r="F425">
        <v>269.70224840588759</v>
      </c>
      <c r="G425">
        <v>286.73724467674265</v>
      </c>
      <c r="H425">
        <v>287.39810595657787</v>
      </c>
      <c r="I425">
        <v>315.13528794326839</v>
      </c>
      <c r="J425">
        <v>337.4705450540452</v>
      </c>
      <c r="K425">
        <v>360.74407916782781</v>
      </c>
      <c r="L425">
        <v>429.52470187425052</v>
      </c>
    </row>
    <row r="426" spans="1:12" x14ac:dyDescent="0.25">
      <c r="A426">
        <v>238.28955136707259</v>
      </c>
      <c r="B426">
        <v>261.63998547800338</v>
      </c>
      <c r="C426">
        <v>250.4153816203</v>
      </c>
      <c r="D426">
        <v>236.16075660939151</v>
      </c>
      <c r="E426">
        <v>272.50479569676696</v>
      </c>
      <c r="F426">
        <v>241.08353317994815</v>
      </c>
      <c r="G426">
        <v>241.62731311137247</v>
      </c>
      <c r="H426">
        <v>248.76134465156886</v>
      </c>
      <c r="I426">
        <v>263.85087164221125</v>
      </c>
      <c r="J426">
        <v>291.72010045562683</v>
      </c>
      <c r="K426">
        <v>302.0722497609176</v>
      </c>
      <c r="L426">
        <v>339.98784816829965</v>
      </c>
    </row>
    <row r="427" spans="1:12" x14ac:dyDescent="0.25">
      <c r="A427">
        <v>249.71327291854109</v>
      </c>
      <c r="B427">
        <v>258.36174821060905</v>
      </c>
      <c r="C427">
        <v>242.24687566516678</v>
      </c>
      <c r="D427">
        <v>238.2550363836435</v>
      </c>
      <c r="E427">
        <v>269.62827478932905</v>
      </c>
      <c r="F427">
        <v>261.78352044456892</v>
      </c>
      <c r="G427">
        <v>254.55394283837046</v>
      </c>
      <c r="H427">
        <v>266.1326496029447</v>
      </c>
      <c r="I427">
        <v>284.30584597876867</v>
      </c>
      <c r="J427">
        <v>293.81224227283053</v>
      </c>
      <c r="K427">
        <v>321.19773353085486</v>
      </c>
      <c r="L427">
        <v>383.31259283402403</v>
      </c>
    </row>
    <row r="428" spans="1:12" x14ac:dyDescent="0.25">
      <c r="A428">
        <v>242.26147771014348</v>
      </c>
      <c r="B428">
        <v>264.84329781822277</v>
      </c>
      <c r="C428">
        <v>239.03625801812362</v>
      </c>
      <c r="D428">
        <v>237.32343463492066</v>
      </c>
      <c r="E428">
        <v>266.55124460937384</v>
      </c>
      <c r="F428">
        <v>233.73912411400639</v>
      </c>
      <c r="G428">
        <v>240.61344919317648</v>
      </c>
      <c r="H428">
        <v>229.516901324624</v>
      </c>
      <c r="I428">
        <v>266.92557633199959</v>
      </c>
      <c r="J428">
        <v>267.89347139402042</v>
      </c>
      <c r="K428">
        <v>267.46230689064134</v>
      </c>
      <c r="L428">
        <v>314.98368295163857</v>
      </c>
    </row>
    <row r="429" spans="1:12" x14ac:dyDescent="0.25">
      <c r="A429">
        <v>261.24162443285877</v>
      </c>
      <c r="B429">
        <v>247.52290543037276</v>
      </c>
      <c r="C429">
        <v>216.19499808239675</v>
      </c>
      <c r="D429">
        <v>231.01011550473893</v>
      </c>
      <c r="E429">
        <v>247.54688579335564</v>
      </c>
      <c r="F429">
        <v>214.1233388288004</v>
      </c>
      <c r="G429">
        <v>226.43358925234023</v>
      </c>
      <c r="H429">
        <v>246.65112693722608</v>
      </c>
      <c r="I429">
        <v>254.84622556418523</v>
      </c>
      <c r="J429">
        <v>255.47374976595461</v>
      </c>
      <c r="K429">
        <v>283.19058441750741</v>
      </c>
      <c r="L429">
        <v>309.17661116265094</v>
      </c>
    </row>
    <row r="430" spans="1:12" x14ac:dyDescent="0.25">
      <c r="A430">
        <v>237.60653027265613</v>
      </c>
      <c r="B430">
        <v>251.31857737463028</v>
      </c>
      <c r="C430">
        <v>233.10276813165044</v>
      </c>
      <c r="D430">
        <v>225.27586497644583</v>
      </c>
      <c r="E430">
        <v>277.85334937587504</v>
      </c>
      <c r="F430">
        <v>242.86121152531186</v>
      </c>
      <c r="G430">
        <v>249.94180094329857</v>
      </c>
      <c r="H430">
        <v>248.93898297333405</v>
      </c>
      <c r="I430">
        <v>287.80948650295676</v>
      </c>
      <c r="J430">
        <v>304.96801403163818</v>
      </c>
      <c r="K430">
        <v>321.82725048276274</v>
      </c>
      <c r="L430">
        <v>353.98943936215034</v>
      </c>
    </row>
    <row r="431" spans="1:12" x14ac:dyDescent="0.25">
      <c r="A431">
        <v>229.96415926176121</v>
      </c>
      <c r="B431">
        <v>257.51690703650547</v>
      </c>
      <c r="C431">
        <v>236.66641547944161</v>
      </c>
      <c r="D431">
        <v>234.67348637780964</v>
      </c>
      <c r="E431">
        <v>272.54745218612788</v>
      </c>
      <c r="F431">
        <v>241.19995513897584</v>
      </c>
      <c r="G431">
        <v>248.42071624550817</v>
      </c>
      <c r="H431">
        <v>250.3177224580312</v>
      </c>
      <c r="I431">
        <v>287.45319514237428</v>
      </c>
      <c r="J431">
        <v>304.25780985742801</v>
      </c>
      <c r="K431">
        <v>299.50533192349383</v>
      </c>
      <c r="L431">
        <v>363.2078948032447</v>
      </c>
    </row>
    <row r="432" spans="1:12" x14ac:dyDescent="0.25">
      <c r="A432">
        <v>251.44936697786176</v>
      </c>
      <c r="B432">
        <v>253.92781720550184</v>
      </c>
      <c r="C432">
        <v>235.00271511895554</v>
      </c>
      <c r="D432">
        <v>238.75570699487494</v>
      </c>
      <c r="E432">
        <v>284.63363292275602</v>
      </c>
      <c r="F432">
        <v>235.65933930002586</v>
      </c>
      <c r="G432">
        <v>255.87739334963069</v>
      </c>
      <c r="H432">
        <v>269.8348101182649</v>
      </c>
      <c r="I432">
        <v>303.40713557306265</v>
      </c>
      <c r="J432">
        <v>320.60311082745085</v>
      </c>
      <c r="K432">
        <v>322.25575299505545</v>
      </c>
      <c r="L432">
        <v>376.06682875468226</v>
      </c>
    </row>
    <row r="433" spans="1:12" x14ac:dyDescent="0.25">
      <c r="A433">
        <v>246.80998439742703</v>
      </c>
      <c r="B433">
        <v>268.54730424047517</v>
      </c>
      <c r="C433">
        <v>246.0842589614677</v>
      </c>
      <c r="D433">
        <v>250.34058498378138</v>
      </c>
      <c r="E433">
        <v>276.6884200474118</v>
      </c>
      <c r="F433">
        <v>251.12766909777949</v>
      </c>
      <c r="G433">
        <v>258.3499549006072</v>
      </c>
      <c r="H433">
        <v>280.34289199166807</v>
      </c>
      <c r="I433">
        <v>306.78048479608429</v>
      </c>
      <c r="J433">
        <v>312.76441120167169</v>
      </c>
      <c r="K433">
        <v>343.32240897878103</v>
      </c>
      <c r="L433">
        <v>389.07816098729728</v>
      </c>
    </row>
    <row r="434" spans="1:12" x14ac:dyDescent="0.25">
      <c r="A434">
        <v>245.79484578358756</v>
      </c>
      <c r="B434">
        <v>267.9348572679495</v>
      </c>
      <c r="C434">
        <v>237.22240898439989</v>
      </c>
      <c r="D434">
        <v>262.51531557388205</v>
      </c>
      <c r="E434">
        <v>292.23960794791947</v>
      </c>
      <c r="F434">
        <v>252.9201821415206</v>
      </c>
      <c r="G434">
        <v>266.22365274701411</v>
      </c>
      <c r="H434">
        <v>266.53252510322892</v>
      </c>
      <c r="I434">
        <v>298.24112567031108</v>
      </c>
      <c r="J434">
        <v>306.06198727765786</v>
      </c>
      <c r="K434">
        <v>304.02805157998796</v>
      </c>
      <c r="L434">
        <v>367.11110501287419</v>
      </c>
    </row>
    <row r="435" spans="1:12" x14ac:dyDescent="0.25">
      <c r="A435">
        <v>243.84255322869262</v>
      </c>
      <c r="B435">
        <v>258.90021706511686</v>
      </c>
      <c r="C435">
        <v>241.90889850993571</v>
      </c>
      <c r="D435">
        <v>256.76503159000958</v>
      </c>
      <c r="E435">
        <v>306.04408267934696</v>
      </c>
      <c r="F435">
        <v>283.53414931712553</v>
      </c>
      <c r="G435">
        <v>284.98741079902686</v>
      </c>
      <c r="H435">
        <v>281.27780796695151</v>
      </c>
      <c r="I435">
        <v>318.93729186023609</v>
      </c>
      <c r="J435">
        <v>323.93472920937199</v>
      </c>
      <c r="K435">
        <v>333.10097529069742</v>
      </c>
      <c r="L435">
        <v>417.61806662533451</v>
      </c>
    </row>
    <row r="436" spans="1:12" x14ac:dyDescent="0.25">
      <c r="A436">
        <v>241.03730146966589</v>
      </c>
      <c r="B436">
        <v>252.5012523777653</v>
      </c>
      <c r="C436">
        <v>233.19660375324554</v>
      </c>
      <c r="D436">
        <v>230.80092917868063</v>
      </c>
      <c r="E436">
        <v>278.76497647354506</v>
      </c>
      <c r="F436">
        <v>225.41898568276576</v>
      </c>
      <c r="G436">
        <v>247.44801207325818</v>
      </c>
      <c r="H436">
        <v>233.55594211434513</v>
      </c>
      <c r="I436">
        <v>271.06102809747506</v>
      </c>
      <c r="J436">
        <v>274.30025206418605</v>
      </c>
      <c r="K436">
        <v>275.1437131541087</v>
      </c>
      <c r="L436">
        <v>339.75558862440715</v>
      </c>
    </row>
    <row r="437" spans="1:12" x14ac:dyDescent="0.25">
      <c r="A437">
        <v>235.43424303942547</v>
      </c>
      <c r="B437">
        <v>259.04388095763039</v>
      </c>
      <c r="C437">
        <v>249.92376646970007</v>
      </c>
      <c r="D437">
        <v>240.80130834049274</v>
      </c>
      <c r="E437">
        <v>282.31821451158748</v>
      </c>
      <c r="F437">
        <v>250.34588614232186</v>
      </c>
      <c r="G437">
        <v>279.37332898926661</v>
      </c>
      <c r="H437">
        <v>283.46764221323531</v>
      </c>
      <c r="I437">
        <v>286.46851254847257</v>
      </c>
      <c r="J437">
        <v>301.93406206543523</v>
      </c>
      <c r="K437">
        <v>329.91061427384972</v>
      </c>
      <c r="L437">
        <v>365.97608428105161</v>
      </c>
    </row>
    <row r="438" spans="1:12" x14ac:dyDescent="0.25">
      <c r="A438">
        <v>245.78795245270206</v>
      </c>
      <c r="B438">
        <v>271.49908904676926</v>
      </c>
      <c r="C438">
        <v>252.26075699995977</v>
      </c>
      <c r="D438">
        <v>252.23325376081763</v>
      </c>
      <c r="E438">
        <v>269.69828022394472</v>
      </c>
      <c r="F438">
        <v>259.1101148813849</v>
      </c>
      <c r="G438">
        <v>255.97986037874171</v>
      </c>
      <c r="H438">
        <v>276.94403302663159</v>
      </c>
      <c r="I438">
        <v>279.77800734568638</v>
      </c>
      <c r="J438">
        <v>312.68052399433526</v>
      </c>
      <c r="K438">
        <v>318.33084707825952</v>
      </c>
      <c r="L438">
        <v>369.84340324199172</v>
      </c>
    </row>
    <row r="439" spans="1:12" x14ac:dyDescent="0.25">
      <c r="A439">
        <v>235.2884537687388</v>
      </c>
      <c r="B439">
        <v>260.74249214149603</v>
      </c>
      <c r="C439">
        <v>238.18582174110043</v>
      </c>
      <c r="D439">
        <v>240.64966685513596</v>
      </c>
      <c r="E439">
        <v>269.22435998635694</v>
      </c>
      <c r="F439">
        <v>246.03953176254083</v>
      </c>
      <c r="G439">
        <v>255.76812748407687</v>
      </c>
      <c r="H439">
        <v>251.61193189924413</v>
      </c>
      <c r="I439">
        <v>303.39274263788963</v>
      </c>
      <c r="J439">
        <v>292.00923870865432</v>
      </c>
      <c r="K439">
        <v>318.21176171354085</v>
      </c>
      <c r="L439">
        <v>374.9045215768478</v>
      </c>
    </row>
    <row r="440" spans="1:12" x14ac:dyDescent="0.25">
      <c r="A440">
        <v>240.07876717705457</v>
      </c>
      <c r="B440">
        <v>268.8926145905948</v>
      </c>
      <c r="C440">
        <v>242.36710987722054</v>
      </c>
      <c r="D440">
        <v>236.14408266308874</v>
      </c>
      <c r="E440">
        <v>268.30346214062678</v>
      </c>
      <c r="F440">
        <v>241.94892646691312</v>
      </c>
      <c r="G440">
        <v>248.71656879806</v>
      </c>
      <c r="H440">
        <v>261.65012290792998</v>
      </c>
      <c r="I440">
        <v>283.4854386045505</v>
      </c>
      <c r="J440">
        <v>298.21922923004826</v>
      </c>
      <c r="K440">
        <v>311.85036023506007</v>
      </c>
      <c r="L440">
        <v>344.63319168620461</v>
      </c>
    </row>
    <row r="441" spans="1:12" x14ac:dyDescent="0.25">
      <c r="A441">
        <v>275.11574015002145</v>
      </c>
      <c r="B441">
        <v>273.77882398944826</v>
      </c>
      <c r="C441">
        <v>239.59404667474089</v>
      </c>
      <c r="D441">
        <v>256.49036124540675</v>
      </c>
      <c r="E441">
        <v>295.19084070966534</v>
      </c>
      <c r="F441">
        <v>258.70113950439054</v>
      </c>
      <c r="G441">
        <v>269.45272631195934</v>
      </c>
      <c r="H441">
        <v>290.44446430390053</v>
      </c>
      <c r="I441">
        <v>295.25916844432095</v>
      </c>
      <c r="J441">
        <v>303.68275698732532</v>
      </c>
      <c r="K441">
        <v>321.16737525660091</v>
      </c>
      <c r="L441">
        <v>374.22573543029483</v>
      </c>
    </row>
    <row r="442" spans="1:12" x14ac:dyDescent="0.25">
      <c r="A442">
        <v>254.36205798235656</v>
      </c>
      <c r="B442">
        <v>275.45026839738716</v>
      </c>
      <c r="C442">
        <v>245.91226385574333</v>
      </c>
      <c r="D442">
        <v>234.88487306467584</v>
      </c>
      <c r="E442">
        <v>269.40452109312378</v>
      </c>
      <c r="F442">
        <v>254.00018032554414</v>
      </c>
      <c r="G442">
        <v>252.51002954353652</v>
      </c>
      <c r="H442">
        <v>251.39965552974704</v>
      </c>
      <c r="I442">
        <v>265.21336537181855</v>
      </c>
      <c r="J442">
        <v>292.4912263962425</v>
      </c>
      <c r="K442">
        <v>310.24920387183403</v>
      </c>
      <c r="L442">
        <v>349.93062237580756</v>
      </c>
    </row>
    <row r="443" spans="1:12" x14ac:dyDescent="0.25">
      <c r="A443">
        <v>238.97663399648772</v>
      </c>
      <c r="B443">
        <v>252.31491769398693</v>
      </c>
      <c r="C443">
        <v>230.66337118249717</v>
      </c>
      <c r="D443">
        <v>240.70494322579876</v>
      </c>
      <c r="E443">
        <v>259.88868449070105</v>
      </c>
      <c r="F443">
        <v>227.44866889985764</v>
      </c>
      <c r="G443">
        <v>231.30921536849212</v>
      </c>
      <c r="H443">
        <v>244.95294910718235</v>
      </c>
      <c r="I443">
        <v>277.67630207319399</v>
      </c>
      <c r="J443">
        <v>283.18503432270762</v>
      </c>
      <c r="K443">
        <v>288.40082359165774</v>
      </c>
      <c r="L443">
        <v>332.57778074432343</v>
      </c>
    </row>
    <row r="444" spans="1:12" x14ac:dyDescent="0.25">
      <c r="A444">
        <v>254.66594734415793</v>
      </c>
      <c r="B444">
        <v>272.06575148002014</v>
      </c>
      <c r="C444">
        <v>246.75135422377582</v>
      </c>
      <c r="D444">
        <v>223.02780186307223</v>
      </c>
      <c r="E444">
        <v>282.69265564219694</v>
      </c>
      <c r="F444">
        <v>265.04835925293236</v>
      </c>
      <c r="G444">
        <v>261.53677846916401</v>
      </c>
      <c r="H444">
        <v>267.52502049540811</v>
      </c>
      <c r="I444">
        <v>308.44462020830679</v>
      </c>
      <c r="J444">
        <v>308.33280071546676</v>
      </c>
      <c r="K444">
        <v>349.60474280253374</v>
      </c>
      <c r="L444">
        <v>404.87619219346414</v>
      </c>
    </row>
    <row r="445" spans="1:12" x14ac:dyDescent="0.25">
      <c r="A445">
        <v>239.73720220046152</v>
      </c>
      <c r="B445">
        <v>245.17702958026061</v>
      </c>
      <c r="C445">
        <v>228.84904054771081</v>
      </c>
      <c r="D445">
        <v>235.63761844603454</v>
      </c>
      <c r="E445">
        <v>271.71206302052508</v>
      </c>
      <c r="F445">
        <v>245.50628297436032</v>
      </c>
      <c r="G445">
        <v>240.49702542974458</v>
      </c>
      <c r="H445">
        <v>243.14027865722136</v>
      </c>
      <c r="I445">
        <v>278.7636576310241</v>
      </c>
      <c r="J445">
        <v>280.3045795602809</v>
      </c>
      <c r="K445">
        <v>296.78480779726533</v>
      </c>
      <c r="L445">
        <v>342.80155048156081</v>
      </c>
    </row>
    <row r="446" spans="1:12" x14ac:dyDescent="0.25">
      <c r="A446">
        <v>236.94963978310116</v>
      </c>
      <c r="B446">
        <v>268.65419220726784</v>
      </c>
      <c r="C446">
        <v>252.31739589704156</v>
      </c>
      <c r="D446">
        <v>254.684197579022</v>
      </c>
      <c r="E446">
        <v>300.33884596922854</v>
      </c>
      <c r="F446">
        <v>280.0502480864339</v>
      </c>
      <c r="G446">
        <v>268.41461391387151</v>
      </c>
      <c r="H446">
        <v>289.27945455848766</v>
      </c>
      <c r="I446">
        <v>311.97064262007029</v>
      </c>
      <c r="J446">
        <v>322.93429976873284</v>
      </c>
      <c r="K446">
        <v>338.28201908761304</v>
      </c>
      <c r="L446">
        <v>382.75388950964884</v>
      </c>
    </row>
    <row r="447" spans="1:12" x14ac:dyDescent="0.25">
      <c r="A447">
        <v>248.30600800187983</v>
      </c>
      <c r="B447">
        <v>250.25330290773124</v>
      </c>
      <c r="C447">
        <v>239.26424639916937</v>
      </c>
      <c r="D447">
        <v>248.24699526921435</v>
      </c>
      <c r="E447">
        <v>283.6837518141686</v>
      </c>
      <c r="F447">
        <v>256.65898678411429</v>
      </c>
      <c r="G447">
        <v>271.22744072496238</v>
      </c>
      <c r="H447">
        <v>276.92660934264592</v>
      </c>
      <c r="I447">
        <v>282.33002266241118</v>
      </c>
      <c r="J447">
        <v>306.25435563015702</v>
      </c>
      <c r="K447">
        <v>325.43316570634636</v>
      </c>
      <c r="L447">
        <v>362.39205050497623</v>
      </c>
    </row>
    <row r="448" spans="1:12" x14ac:dyDescent="0.25">
      <c r="A448">
        <v>241.91098062610396</v>
      </c>
      <c r="B448">
        <v>273.52236137778101</v>
      </c>
      <c r="C448">
        <v>261.55447094980207</v>
      </c>
      <c r="D448">
        <v>246.88562986234842</v>
      </c>
      <c r="E448">
        <v>290.97595379554764</v>
      </c>
      <c r="F448">
        <v>266.15931092774838</v>
      </c>
      <c r="G448">
        <v>267.5528670144019</v>
      </c>
      <c r="H448">
        <v>296.87176670393592</v>
      </c>
      <c r="I448">
        <v>302.64813969020855</v>
      </c>
      <c r="J448">
        <v>329.31552792968711</v>
      </c>
      <c r="K448">
        <v>343.63016825526358</v>
      </c>
      <c r="L448">
        <v>426.05026284052377</v>
      </c>
    </row>
    <row r="449" spans="1:12" x14ac:dyDescent="0.25">
      <c r="A449">
        <v>235.83472001938992</v>
      </c>
      <c r="B449">
        <v>254.95886712498435</v>
      </c>
      <c r="C449">
        <v>229.49519368098942</v>
      </c>
      <c r="D449">
        <v>233.10395257973087</v>
      </c>
      <c r="E449">
        <v>270.5595252417354</v>
      </c>
      <c r="F449">
        <v>235.56784520843075</v>
      </c>
      <c r="G449">
        <v>240.14734563657916</v>
      </c>
      <c r="H449">
        <v>255.09962291302773</v>
      </c>
      <c r="I449">
        <v>277.22012646524712</v>
      </c>
      <c r="J449">
        <v>285.34727549361236</v>
      </c>
      <c r="K449">
        <v>298.16811806105773</v>
      </c>
      <c r="L449">
        <v>335.25168097413189</v>
      </c>
    </row>
    <row r="450" spans="1:12" x14ac:dyDescent="0.25">
      <c r="A450">
        <v>228.87872515151039</v>
      </c>
      <c r="B450">
        <v>278.15212553435703</v>
      </c>
      <c r="C450">
        <v>212.78467994046468</v>
      </c>
      <c r="D450">
        <v>249.25617663945806</v>
      </c>
      <c r="E450">
        <v>280.96089853867073</v>
      </c>
      <c r="F450">
        <v>244.62089585475749</v>
      </c>
      <c r="G450">
        <v>255.37264108344783</v>
      </c>
      <c r="H450">
        <v>266.48439207119009</v>
      </c>
      <c r="I450">
        <v>283.17156857336397</v>
      </c>
      <c r="J450">
        <v>294.9584805653397</v>
      </c>
      <c r="K450">
        <v>309.34122085153206</v>
      </c>
      <c r="L450">
        <v>360.29341022582798</v>
      </c>
    </row>
    <row r="451" spans="1:12" x14ac:dyDescent="0.25">
      <c r="A451">
        <v>251.62762172480967</v>
      </c>
      <c r="B451">
        <v>275.35183903641428</v>
      </c>
      <c r="C451">
        <v>247.06126141425148</v>
      </c>
      <c r="D451">
        <v>251.55001752843395</v>
      </c>
      <c r="E451">
        <v>275.16712991749569</v>
      </c>
      <c r="F451">
        <v>244.5315499252832</v>
      </c>
      <c r="G451">
        <v>266.30816433407148</v>
      </c>
      <c r="H451">
        <v>281.05171541522157</v>
      </c>
      <c r="I451">
        <v>286.29916639136906</v>
      </c>
      <c r="J451">
        <v>305.06826865310904</v>
      </c>
      <c r="K451">
        <v>315.05809557897788</v>
      </c>
      <c r="L451">
        <v>378.63997950563817</v>
      </c>
    </row>
    <row r="452" spans="1:12" x14ac:dyDescent="0.25">
      <c r="A452">
        <v>259.72078039855205</v>
      </c>
      <c r="B452">
        <v>274.34914953714321</v>
      </c>
      <c r="C452">
        <v>258.26128718339146</v>
      </c>
      <c r="D452">
        <v>236.04070904313335</v>
      </c>
      <c r="E452">
        <v>306.15136520504916</v>
      </c>
      <c r="F452">
        <v>260.7413109167797</v>
      </c>
      <c r="G452">
        <v>298.06382294034756</v>
      </c>
      <c r="H452">
        <v>282.7140212123756</v>
      </c>
      <c r="I452">
        <v>314.57899447590285</v>
      </c>
      <c r="J452">
        <v>320.92692724602739</v>
      </c>
      <c r="K452">
        <v>339.34599651584875</v>
      </c>
      <c r="L452">
        <v>401.95558674778431</v>
      </c>
    </row>
    <row r="453" spans="1:12" x14ac:dyDescent="0.25">
      <c r="A453">
        <v>251.16113853067978</v>
      </c>
      <c r="B453">
        <v>266.02963457013703</v>
      </c>
      <c r="C453">
        <v>244.85759255110082</v>
      </c>
      <c r="D453">
        <v>233.10471015942676</v>
      </c>
      <c r="E453">
        <v>261.67334092747581</v>
      </c>
      <c r="F453">
        <v>241.26388618325186</v>
      </c>
      <c r="G453">
        <v>259.21235925942312</v>
      </c>
      <c r="H453">
        <v>256.54492022747695</v>
      </c>
      <c r="I453">
        <v>276.76806396679422</v>
      </c>
      <c r="J453">
        <v>290.84904539963924</v>
      </c>
      <c r="K453">
        <v>299.7334798847192</v>
      </c>
      <c r="L453">
        <v>331.57125522862106</v>
      </c>
    </row>
    <row r="454" spans="1:12" x14ac:dyDescent="0.25">
      <c r="A454">
        <v>245.72928375738232</v>
      </c>
      <c r="B454">
        <v>256.96903717604994</v>
      </c>
      <c r="C454">
        <v>246.14478884954784</v>
      </c>
      <c r="D454">
        <v>237.0277682111371</v>
      </c>
      <c r="E454">
        <v>267.61291160834458</v>
      </c>
      <c r="F454">
        <v>258.85209613216801</v>
      </c>
      <c r="G454">
        <v>275.1735576831685</v>
      </c>
      <c r="H454">
        <v>274.98422707775654</v>
      </c>
      <c r="I454">
        <v>290.3536934633089</v>
      </c>
      <c r="J454">
        <v>313.34968125553178</v>
      </c>
      <c r="K454">
        <v>323.57837831608504</v>
      </c>
      <c r="L454">
        <v>396.46746646602611</v>
      </c>
    </row>
    <row r="455" spans="1:12" x14ac:dyDescent="0.25">
      <c r="A455">
        <v>238.34951678535816</v>
      </c>
      <c r="B455">
        <v>249.32711540961989</v>
      </c>
      <c r="C455">
        <v>242.46423430376532</v>
      </c>
      <c r="D455">
        <v>227.07884946936335</v>
      </c>
      <c r="E455">
        <v>277.25069287390755</v>
      </c>
      <c r="F455">
        <v>228.91524643808978</v>
      </c>
      <c r="G455">
        <v>242.67227371463827</v>
      </c>
      <c r="H455">
        <v>245.33863526496998</v>
      </c>
      <c r="I455">
        <v>267.32105097716936</v>
      </c>
      <c r="J455">
        <v>270.54607850616867</v>
      </c>
      <c r="K455">
        <v>298.36337477168456</v>
      </c>
      <c r="L455">
        <v>331.43705364698593</v>
      </c>
    </row>
    <row r="456" spans="1:12" x14ac:dyDescent="0.25">
      <c r="A456">
        <v>266.71017819086904</v>
      </c>
      <c r="B456">
        <v>277.34803423140846</v>
      </c>
      <c r="C456">
        <v>274.78272829160602</v>
      </c>
      <c r="D456">
        <v>266.19481891663577</v>
      </c>
      <c r="E456">
        <v>314.12338451152937</v>
      </c>
      <c r="F456">
        <v>267.50135250194091</v>
      </c>
      <c r="G456">
        <v>289.26139299051198</v>
      </c>
      <c r="H456">
        <v>292.50425898419536</v>
      </c>
      <c r="I456">
        <v>331.07912065902104</v>
      </c>
      <c r="J456">
        <v>336.63053732053709</v>
      </c>
      <c r="K456">
        <v>368.14469041568492</v>
      </c>
      <c r="L456">
        <v>430.22230955241332</v>
      </c>
    </row>
    <row r="457" spans="1:12" x14ac:dyDescent="0.25">
      <c r="A457">
        <v>248.58731672661474</v>
      </c>
      <c r="B457">
        <v>264.84637649201096</v>
      </c>
      <c r="C457">
        <v>243.38295183170757</v>
      </c>
      <c r="D457">
        <v>252.59958652360061</v>
      </c>
      <c r="E457">
        <v>296.90206994356276</v>
      </c>
      <c r="F457">
        <v>265.85768515447023</v>
      </c>
      <c r="G457">
        <v>289.98795777784773</v>
      </c>
      <c r="H457">
        <v>290.5040748392218</v>
      </c>
      <c r="I457">
        <v>302.27046405375512</v>
      </c>
      <c r="J457">
        <v>327.92782525848548</v>
      </c>
      <c r="K457">
        <v>357.13756931056923</v>
      </c>
      <c r="L457">
        <v>412.28702985713585</v>
      </c>
    </row>
    <row r="458" spans="1:12" x14ac:dyDescent="0.25">
      <c r="A458">
        <v>255.64261826674078</v>
      </c>
      <c r="B458">
        <v>259.94739158957481</v>
      </c>
      <c r="C458">
        <v>241.00901057654454</v>
      </c>
      <c r="D458">
        <v>233.02059362980137</v>
      </c>
      <c r="E458">
        <v>261.00102170728326</v>
      </c>
      <c r="F458">
        <v>253.56005119044121</v>
      </c>
      <c r="G458">
        <v>247.95405478062057</v>
      </c>
      <c r="H458">
        <v>257.84847368921851</v>
      </c>
      <c r="I458">
        <v>294.81797170773939</v>
      </c>
      <c r="J458">
        <v>299.65454341443137</v>
      </c>
      <c r="K458">
        <v>307.37760595263046</v>
      </c>
      <c r="L458">
        <v>360.15856459243065</v>
      </c>
    </row>
    <row r="459" spans="1:12" x14ac:dyDescent="0.25">
      <c r="A459">
        <v>238.58002989328577</v>
      </c>
      <c r="B459">
        <v>261.83633750222515</v>
      </c>
      <c r="C459">
        <v>222.39075143912152</v>
      </c>
      <c r="D459">
        <v>232.02265108599426</v>
      </c>
      <c r="E459">
        <v>279.85152139774164</v>
      </c>
      <c r="F459">
        <v>236.35331599953253</v>
      </c>
      <c r="G459">
        <v>234.83081551008064</v>
      </c>
      <c r="H459">
        <v>249.45373890171064</v>
      </c>
      <c r="I459">
        <v>273.80054400916134</v>
      </c>
      <c r="J459">
        <v>276.3930842243999</v>
      </c>
      <c r="K459">
        <v>302.47623321219407</v>
      </c>
      <c r="L459">
        <v>340.79121768601505</v>
      </c>
    </row>
    <row r="460" spans="1:12" x14ac:dyDescent="0.25">
      <c r="A460">
        <v>243.89855211243332</v>
      </c>
      <c r="B460">
        <v>281.12062219741762</v>
      </c>
      <c r="C460">
        <v>236.03889980889539</v>
      </c>
      <c r="D460">
        <v>277.59434812086323</v>
      </c>
      <c r="E460">
        <v>304.92466574154327</v>
      </c>
      <c r="F460">
        <v>264.7461946526733</v>
      </c>
      <c r="G460">
        <v>289.83552173403041</v>
      </c>
      <c r="H460">
        <v>300.7624393038729</v>
      </c>
      <c r="I460">
        <v>317.85974106943439</v>
      </c>
      <c r="J460">
        <v>336.41690113017006</v>
      </c>
      <c r="K460">
        <v>379.9969791095013</v>
      </c>
      <c r="L460">
        <v>432.9285784119491</v>
      </c>
    </row>
    <row r="461" spans="1:12" x14ac:dyDescent="0.25">
      <c r="A461">
        <v>248.70930520123375</v>
      </c>
      <c r="B461">
        <v>278.2594920345656</v>
      </c>
      <c r="C461">
        <v>270.18255955293364</v>
      </c>
      <c r="D461">
        <v>241.68475651925044</v>
      </c>
      <c r="E461">
        <v>293.04897328765219</v>
      </c>
      <c r="F461">
        <v>265.90119467182114</v>
      </c>
      <c r="G461">
        <v>273.34673259319595</v>
      </c>
      <c r="H461">
        <v>270.03995366505222</v>
      </c>
      <c r="I461">
        <v>294.34058387171081</v>
      </c>
      <c r="J461">
        <v>295.72237317343155</v>
      </c>
      <c r="K461">
        <v>321.25256212564585</v>
      </c>
      <c r="L461">
        <v>373.73152046512138</v>
      </c>
    </row>
    <row r="462" spans="1:12" x14ac:dyDescent="0.25">
      <c r="A462">
        <v>250.95010038999672</v>
      </c>
      <c r="B462">
        <v>289.96603610629313</v>
      </c>
      <c r="C462">
        <v>235.41534084613602</v>
      </c>
      <c r="D462">
        <v>239.06956948569908</v>
      </c>
      <c r="E462">
        <v>297.52383379990039</v>
      </c>
      <c r="F462">
        <v>271.31836258763292</v>
      </c>
      <c r="G462">
        <v>268.05967170265342</v>
      </c>
      <c r="H462">
        <v>255.27260685533747</v>
      </c>
      <c r="I462">
        <v>304.61650058244089</v>
      </c>
      <c r="J462">
        <v>315.95843359336425</v>
      </c>
      <c r="K462">
        <v>324.64287028371626</v>
      </c>
      <c r="L462">
        <v>372.43321692675084</v>
      </c>
    </row>
    <row r="463" spans="1:12" x14ac:dyDescent="0.25">
      <c r="A463">
        <v>236.86826399750186</v>
      </c>
      <c r="B463">
        <v>259.54091983352998</v>
      </c>
      <c r="C463">
        <v>244.21905095653082</v>
      </c>
      <c r="D463">
        <v>239.42831422310508</v>
      </c>
      <c r="E463">
        <v>277.59126398821479</v>
      </c>
      <c r="F463">
        <v>245.00404696397692</v>
      </c>
      <c r="G463">
        <v>260.40106418730028</v>
      </c>
      <c r="H463">
        <v>253.66413589736914</v>
      </c>
      <c r="I463">
        <v>283.31592492459873</v>
      </c>
      <c r="J463">
        <v>311.61859290749726</v>
      </c>
      <c r="K463">
        <v>327.0374497550323</v>
      </c>
      <c r="L463">
        <v>387.60626215067663</v>
      </c>
    </row>
    <row r="464" spans="1:12" x14ac:dyDescent="0.25">
      <c r="A464">
        <v>255.21752036362292</v>
      </c>
      <c r="B464">
        <v>256.65033403810162</v>
      </c>
      <c r="C464">
        <v>250.92126646534965</v>
      </c>
      <c r="D464">
        <v>242.7159520957301</v>
      </c>
      <c r="E464">
        <v>282.71524979081295</v>
      </c>
      <c r="F464">
        <v>264.58707964260475</v>
      </c>
      <c r="G464">
        <v>265.73021407832061</v>
      </c>
      <c r="H464">
        <v>249.34476004168218</v>
      </c>
      <c r="I464">
        <v>283.82350366879359</v>
      </c>
      <c r="J464">
        <v>301.30121263360394</v>
      </c>
      <c r="K464">
        <v>305.69304383975589</v>
      </c>
      <c r="L464">
        <v>365.47339707356593</v>
      </c>
    </row>
    <row r="465" spans="1:12" x14ac:dyDescent="0.25">
      <c r="A465">
        <v>250.78106395950383</v>
      </c>
      <c r="B465">
        <v>275.80699168815704</v>
      </c>
      <c r="C465">
        <v>239.14362887823668</v>
      </c>
      <c r="D465">
        <v>267.00465321642361</v>
      </c>
      <c r="E465">
        <v>287.13404800484238</v>
      </c>
      <c r="F465">
        <v>278.70480331026516</v>
      </c>
      <c r="G465">
        <v>269.34174126955639</v>
      </c>
      <c r="H465">
        <v>281.01221010371478</v>
      </c>
      <c r="I465">
        <v>303.78887565663121</v>
      </c>
      <c r="J465">
        <v>308.33437215260057</v>
      </c>
      <c r="K465">
        <v>326.08658636709134</v>
      </c>
      <c r="L465">
        <v>386.86329705810192</v>
      </c>
    </row>
    <row r="466" spans="1:12" x14ac:dyDescent="0.25">
      <c r="A466">
        <v>221.94135512186566</v>
      </c>
      <c r="B466">
        <v>260.55876131859912</v>
      </c>
      <c r="C466">
        <v>227.1156204242026</v>
      </c>
      <c r="D466">
        <v>232.36834995174746</v>
      </c>
      <c r="E466">
        <v>273.32906475365616</v>
      </c>
      <c r="F466">
        <v>241.31150362590853</v>
      </c>
      <c r="G466">
        <v>249.70574145844216</v>
      </c>
      <c r="H466">
        <v>262.31022781562461</v>
      </c>
      <c r="I466">
        <v>281.49556443826788</v>
      </c>
      <c r="J466">
        <v>307.83657326694026</v>
      </c>
      <c r="K466">
        <v>326.43264638713197</v>
      </c>
      <c r="L466">
        <v>362.12327261471626</v>
      </c>
    </row>
    <row r="467" spans="1:12" x14ac:dyDescent="0.25">
      <c r="A467">
        <v>240.36254088617741</v>
      </c>
      <c r="B467">
        <v>268.1047484723984</v>
      </c>
      <c r="C467">
        <v>232.60565806992483</v>
      </c>
      <c r="D467">
        <v>251.05985607692875</v>
      </c>
      <c r="E467">
        <v>271.27098817049131</v>
      </c>
      <c r="F467">
        <v>251.19664427676648</v>
      </c>
      <c r="G467">
        <v>256.33075930454635</v>
      </c>
      <c r="H467">
        <v>263.97208788787259</v>
      </c>
      <c r="I467">
        <v>294.42782168471103</v>
      </c>
      <c r="J467">
        <v>297.74195718460828</v>
      </c>
      <c r="K467">
        <v>332.48177772578725</v>
      </c>
      <c r="L467">
        <v>373.81574994616119</v>
      </c>
    </row>
    <row r="468" spans="1:12" x14ac:dyDescent="0.25">
      <c r="A468">
        <v>248.8305825824165</v>
      </c>
      <c r="B468">
        <v>240.77451309321197</v>
      </c>
      <c r="C468">
        <v>231.55580237511072</v>
      </c>
      <c r="D468">
        <v>232.96005878835149</v>
      </c>
      <c r="E468">
        <v>263.36491368424106</v>
      </c>
      <c r="F468">
        <v>237.57658559261506</v>
      </c>
      <c r="G468">
        <v>239.18721949298342</v>
      </c>
      <c r="H468">
        <v>233.34606726267012</v>
      </c>
      <c r="I468">
        <v>261.91103277429062</v>
      </c>
      <c r="J468">
        <v>276.70267764818993</v>
      </c>
      <c r="K468">
        <v>298.14842419599955</v>
      </c>
      <c r="L468">
        <v>332.38452332434616</v>
      </c>
    </row>
    <row r="469" spans="1:12" x14ac:dyDescent="0.25">
      <c r="A469">
        <v>248.3216307221644</v>
      </c>
      <c r="B469">
        <v>261.72284939984536</v>
      </c>
      <c r="C469">
        <v>243.6739741516694</v>
      </c>
      <c r="D469">
        <v>256.39126809141447</v>
      </c>
      <c r="E469">
        <v>293.83472461586075</v>
      </c>
      <c r="F469">
        <v>272.51768263081448</v>
      </c>
      <c r="G469">
        <v>282.28200845515732</v>
      </c>
      <c r="H469">
        <v>279.52267208654973</v>
      </c>
      <c r="I469">
        <v>306.47768470977104</v>
      </c>
      <c r="J469">
        <v>334.83309992053125</v>
      </c>
      <c r="K469">
        <v>331.16796091229389</v>
      </c>
      <c r="L469">
        <v>403.91589486898312</v>
      </c>
    </row>
    <row r="470" spans="1:12" x14ac:dyDescent="0.25">
      <c r="A470">
        <v>235.45402726493361</v>
      </c>
      <c r="B470">
        <v>262.59300992519803</v>
      </c>
      <c r="C470">
        <v>231.74208411739622</v>
      </c>
      <c r="D470">
        <v>247.58798293422728</v>
      </c>
      <c r="E470">
        <v>263.21658181519916</v>
      </c>
      <c r="F470">
        <v>234.11382903964488</v>
      </c>
      <c r="G470">
        <v>231.95000308883007</v>
      </c>
      <c r="H470">
        <v>241.84040135733073</v>
      </c>
      <c r="I470">
        <v>270.53638801048311</v>
      </c>
      <c r="J470">
        <v>273.60672905932023</v>
      </c>
      <c r="K470">
        <v>292.60566212415881</v>
      </c>
      <c r="L470">
        <v>332.39407130347831</v>
      </c>
    </row>
    <row r="471" spans="1:12" x14ac:dyDescent="0.25">
      <c r="A471">
        <v>249.07498811033358</v>
      </c>
      <c r="B471">
        <v>258.6148440996248</v>
      </c>
      <c r="C471">
        <v>255.8397636229391</v>
      </c>
      <c r="D471">
        <v>250.94062424238962</v>
      </c>
      <c r="E471">
        <v>291.81318865242338</v>
      </c>
      <c r="F471">
        <v>251.96230283131069</v>
      </c>
      <c r="G471">
        <v>276.9798377815444</v>
      </c>
      <c r="H471">
        <v>283.87987100202622</v>
      </c>
      <c r="I471">
        <v>301.28266764918123</v>
      </c>
      <c r="J471">
        <v>331.1853110415297</v>
      </c>
      <c r="K471">
        <v>336.74628294685465</v>
      </c>
      <c r="L471">
        <v>414.70157921803292</v>
      </c>
    </row>
    <row r="472" spans="1:12" x14ac:dyDescent="0.25">
      <c r="A472">
        <v>243.9314370397353</v>
      </c>
      <c r="B472">
        <v>270.16136030472262</v>
      </c>
      <c r="C472">
        <v>218.52791738678437</v>
      </c>
      <c r="D472">
        <v>240.82816578833604</v>
      </c>
      <c r="E472">
        <v>274.82692519249326</v>
      </c>
      <c r="F472">
        <v>235.77988413819961</v>
      </c>
      <c r="G472">
        <v>247.49447348190401</v>
      </c>
      <c r="H472">
        <v>253.97840551081094</v>
      </c>
      <c r="I472">
        <v>278.29833060882601</v>
      </c>
      <c r="J472">
        <v>285.64008957464841</v>
      </c>
      <c r="K472">
        <v>308.86354499641266</v>
      </c>
      <c r="L472">
        <v>339.81181269777068</v>
      </c>
    </row>
    <row r="473" spans="1:12" x14ac:dyDescent="0.25">
      <c r="A473">
        <v>253.77821614827502</v>
      </c>
      <c r="B473">
        <v>262.66639932520428</v>
      </c>
      <c r="C473">
        <v>236.81279303725026</v>
      </c>
      <c r="D473">
        <v>232.9373647376741</v>
      </c>
      <c r="E473">
        <v>282.98071422472918</v>
      </c>
      <c r="F473">
        <v>261.64206138919087</v>
      </c>
      <c r="G473">
        <v>260.02144710598691</v>
      </c>
      <c r="H473">
        <v>269.19565847368483</v>
      </c>
      <c r="I473">
        <v>291.03559249574153</v>
      </c>
      <c r="J473">
        <v>309.00655374793615</v>
      </c>
      <c r="K473">
        <v>328.27963443862575</v>
      </c>
      <c r="L473">
        <v>366.96341648665464</v>
      </c>
    </row>
    <row r="474" spans="1:12" x14ac:dyDescent="0.25">
      <c r="A474">
        <v>245.83437990193241</v>
      </c>
      <c r="B474">
        <v>275.31712094572254</v>
      </c>
      <c r="C474">
        <v>236.34742203438734</v>
      </c>
      <c r="D474">
        <v>234.0756278474594</v>
      </c>
      <c r="E474">
        <v>283.32833162142674</v>
      </c>
      <c r="F474">
        <v>246.05747405091546</v>
      </c>
      <c r="G474">
        <v>263.70475662998513</v>
      </c>
      <c r="H474">
        <v>255.82675742441941</v>
      </c>
      <c r="I474">
        <v>300.85539584338358</v>
      </c>
      <c r="J474">
        <v>302.74809672072178</v>
      </c>
      <c r="K474">
        <v>320.65502390936905</v>
      </c>
      <c r="L474">
        <v>371.13944926768568</v>
      </c>
    </row>
    <row r="475" spans="1:12" x14ac:dyDescent="0.25">
      <c r="A475">
        <v>226.22655797292947</v>
      </c>
      <c r="B475">
        <v>261.11984437968943</v>
      </c>
      <c r="C475">
        <v>223.33651186927111</v>
      </c>
      <c r="D475">
        <v>236.29050239289433</v>
      </c>
      <c r="E475">
        <v>274.95611481032779</v>
      </c>
      <c r="F475">
        <v>252.15066728926894</v>
      </c>
      <c r="G475">
        <v>262.05327257813582</v>
      </c>
      <c r="H475">
        <v>283.78215129825804</v>
      </c>
      <c r="I475">
        <v>292.40251844040085</v>
      </c>
      <c r="J475">
        <v>310.32042283579614</v>
      </c>
      <c r="K475">
        <v>314.84790769932499</v>
      </c>
      <c r="L475">
        <v>380.14127163001359</v>
      </c>
    </row>
    <row r="476" spans="1:12" x14ac:dyDescent="0.25">
      <c r="A476">
        <v>236.08922641053505</v>
      </c>
      <c r="B476">
        <v>253.02379601365334</v>
      </c>
      <c r="C476">
        <v>241.59034533337331</v>
      </c>
      <c r="D476">
        <v>229.61507130908865</v>
      </c>
      <c r="E476">
        <v>248.72789606317056</v>
      </c>
      <c r="F476">
        <v>228.51198866490245</v>
      </c>
      <c r="G476">
        <v>252.9002223392427</v>
      </c>
      <c r="H476">
        <v>231.0173003339421</v>
      </c>
      <c r="I476">
        <v>246.88657985531941</v>
      </c>
      <c r="J476">
        <v>256.15080779432986</v>
      </c>
      <c r="K476">
        <v>261.13596931290618</v>
      </c>
      <c r="L476">
        <v>305.99331044660499</v>
      </c>
    </row>
    <row r="477" spans="1:12" x14ac:dyDescent="0.25">
      <c r="A477">
        <v>240.32179715745002</v>
      </c>
      <c r="B477">
        <v>252.03211213393479</v>
      </c>
      <c r="C477">
        <v>227.30906764311663</v>
      </c>
      <c r="D477">
        <v>222.5626098865441</v>
      </c>
      <c r="E477">
        <v>244.88942579172243</v>
      </c>
      <c r="F477">
        <v>238.98463370051388</v>
      </c>
      <c r="G477">
        <v>235.51831593763737</v>
      </c>
      <c r="H477">
        <v>228.40668989773218</v>
      </c>
      <c r="I477">
        <v>240.33396488404989</v>
      </c>
      <c r="J477">
        <v>253.05037163208911</v>
      </c>
      <c r="K477">
        <v>278.02174529363265</v>
      </c>
      <c r="L477">
        <v>303.93456742132543</v>
      </c>
    </row>
    <row r="478" spans="1:12" x14ac:dyDescent="0.25">
      <c r="A478">
        <v>255.32583105371322</v>
      </c>
      <c r="B478">
        <v>259.51298761024611</v>
      </c>
      <c r="C478">
        <v>240.91834949723798</v>
      </c>
      <c r="D478">
        <v>244.69253998551852</v>
      </c>
      <c r="E478">
        <v>281.53553243048998</v>
      </c>
      <c r="F478">
        <v>246.97182566533431</v>
      </c>
      <c r="G478">
        <v>246.89991996402014</v>
      </c>
      <c r="H478">
        <v>255.25657631212511</v>
      </c>
      <c r="I478">
        <v>264.9928407792205</v>
      </c>
      <c r="J478">
        <v>297.25287310150736</v>
      </c>
      <c r="K478">
        <v>284.60869867105106</v>
      </c>
      <c r="L478">
        <v>322.38967969819601</v>
      </c>
    </row>
    <row r="479" spans="1:12" x14ac:dyDescent="0.25">
      <c r="A479">
        <v>240.60057913875431</v>
      </c>
      <c r="B479">
        <v>259.54135951128768</v>
      </c>
      <c r="C479">
        <v>249.58744721968586</v>
      </c>
      <c r="D479">
        <v>247.58552787271907</v>
      </c>
      <c r="E479">
        <v>274.06608837989751</v>
      </c>
      <c r="F479">
        <v>255.22041151235521</v>
      </c>
      <c r="G479">
        <v>262.31651192009059</v>
      </c>
      <c r="H479">
        <v>273.71918515652021</v>
      </c>
      <c r="I479">
        <v>301.44093121354672</v>
      </c>
      <c r="J479">
        <v>305.34093753311652</v>
      </c>
      <c r="K479">
        <v>311.90002788747705</v>
      </c>
      <c r="L479">
        <v>373.57689409660026</v>
      </c>
    </row>
    <row r="480" spans="1:12" x14ac:dyDescent="0.25">
      <c r="A480">
        <v>240.09135615034248</v>
      </c>
      <c r="B480">
        <v>272.98783099672318</v>
      </c>
      <c r="C480">
        <v>240.70922572226459</v>
      </c>
      <c r="D480">
        <v>257.69216351668126</v>
      </c>
      <c r="E480">
        <v>284.10514815944015</v>
      </c>
      <c r="F480">
        <v>244.88262139832568</v>
      </c>
      <c r="G480">
        <v>255.90535095743294</v>
      </c>
      <c r="H480">
        <v>282.83515796593088</v>
      </c>
      <c r="I480">
        <v>280.79871133946585</v>
      </c>
      <c r="J480">
        <v>316.91102702885081</v>
      </c>
      <c r="K480">
        <v>320.79393753851042</v>
      </c>
      <c r="L480">
        <v>377.48120473258399</v>
      </c>
    </row>
    <row r="481" spans="1:12" x14ac:dyDescent="0.25">
      <c r="A481">
        <v>249.26581645958987</v>
      </c>
      <c r="B481">
        <v>275.96112169710045</v>
      </c>
      <c r="C481">
        <v>251.78620013218074</v>
      </c>
      <c r="D481">
        <v>257.05099367189911</v>
      </c>
      <c r="E481">
        <v>289.39173544258324</v>
      </c>
      <c r="F481">
        <v>244.63798374563584</v>
      </c>
      <c r="G481">
        <v>263.44679556390258</v>
      </c>
      <c r="H481">
        <v>256.57512689061883</v>
      </c>
      <c r="I481">
        <v>296.53968294658762</v>
      </c>
      <c r="J481">
        <v>311.50760418760495</v>
      </c>
      <c r="K481">
        <v>320.63312901970744</v>
      </c>
      <c r="L481">
        <v>391.53834145275977</v>
      </c>
    </row>
    <row r="482" spans="1:12" x14ac:dyDescent="0.25">
      <c r="A482">
        <v>228.48179884956133</v>
      </c>
      <c r="B482">
        <v>239.65382974569499</v>
      </c>
      <c r="C482">
        <v>218.15587518392934</v>
      </c>
      <c r="D482">
        <v>228.14326818031196</v>
      </c>
      <c r="E482">
        <v>255.40378790391648</v>
      </c>
      <c r="F482">
        <v>230.78494703579514</v>
      </c>
      <c r="G482">
        <v>223.44006756197481</v>
      </c>
      <c r="H482">
        <v>218.488581441435</v>
      </c>
      <c r="I482">
        <v>228.48085297892951</v>
      </c>
      <c r="J482">
        <v>234.52352680748407</v>
      </c>
      <c r="K482">
        <v>241.0829832946954</v>
      </c>
      <c r="L482">
        <v>282.25780735040644</v>
      </c>
    </row>
    <row r="483" spans="1:12" x14ac:dyDescent="0.25">
      <c r="A483">
        <v>222.99465655504872</v>
      </c>
      <c r="B483">
        <v>233.85960330127887</v>
      </c>
      <c r="C483">
        <v>234.64632326014939</v>
      </c>
      <c r="D483">
        <v>232.90756890557395</v>
      </c>
      <c r="E483">
        <v>262.24844300681252</v>
      </c>
      <c r="F483">
        <v>252.28190597960858</v>
      </c>
      <c r="G483">
        <v>242.79821004303122</v>
      </c>
      <c r="H483">
        <v>253.74255237137987</v>
      </c>
      <c r="I483">
        <v>287.04661348929352</v>
      </c>
      <c r="J483">
        <v>290.35397381877857</v>
      </c>
      <c r="K483">
        <v>300.17009445891023</v>
      </c>
      <c r="L483">
        <v>350.28089623928201</v>
      </c>
    </row>
    <row r="484" spans="1:12" x14ac:dyDescent="0.25">
      <c r="A484">
        <v>248.989007674584</v>
      </c>
      <c r="B484">
        <v>262.93179443915909</v>
      </c>
      <c r="C484">
        <v>234.2046861691515</v>
      </c>
      <c r="D484">
        <v>233.81310307457147</v>
      </c>
      <c r="E484">
        <v>278.09998259480125</v>
      </c>
      <c r="F484">
        <v>236.77668499291482</v>
      </c>
      <c r="G484">
        <v>234.49038295874558</v>
      </c>
      <c r="H484">
        <v>240.7470673812079</v>
      </c>
      <c r="I484">
        <v>246.61237006314764</v>
      </c>
      <c r="J484">
        <v>266.7985152265386</v>
      </c>
      <c r="K484">
        <v>272.61652602326751</v>
      </c>
      <c r="L484">
        <v>331.80175480543375</v>
      </c>
    </row>
    <row r="485" spans="1:12" x14ac:dyDescent="0.25">
      <c r="A485">
        <v>230.36768271595861</v>
      </c>
      <c r="B485">
        <v>249.98188930517853</v>
      </c>
      <c r="C485">
        <v>242.47187334708181</v>
      </c>
      <c r="D485">
        <v>221.82558905072852</v>
      </c>
      <c r="E485">
        <v>275.0240755931863</v>
      </c>
      <c r="F485">
        <v>232.6505314650982</v>
      </c>
      <c r="G485">
        <v>229.89960221939822</v>
      </c>
      <c r="H485">
        <v>234.24987517135457</v>
      </c>
      <c r="I485">
        <v>249.75378786861006</v>
      </c>
      <c r="J485">
        <v>266.11197355392807</v>
      </c>
      <c r="K485">
        <v>292.61343403038228</v>
      </c>
      <c r="L485">
        <v>328.01739048980346</v>
      </c>
    </row>
    <row r="486" spans="1:12" x14ac:dyDescent="0.25">
      <c r="A486">
        <v>240.47720205409757</v>
      </c>
      <c r="B486">
        <v>265.93513826255617</v>
      </c>
      <c r="C486">
        <v>234.55719017920879</v>
      </c>
      <c r="D486">
        <v>227.9458763024617</v>
      </c>
      <c r="E486">
        <v>291.80304610127644</v>
      </c>
      <c r="F486">
        <v>253.87511629028643</v>
      </c>
      <c r="G486">
        <v>236.38201537698291</v>
      </c>
      <c r="H486">
        <v>262.17110161513057</v>
      </c>
      <c r="I486">
        <v>279.68825477507352</v>
      </c>
      <c r="J486">
        <v>284.79543414176123</v>
      </c>
      <c r="K486">
        <v>293.14312442701822</v>
      </c>
      <c r="L486">
        <v>354.51698804929129</v>
      </c>
    </row>
    <row r="487" spans="1:12" x14ac:dyDescent="0.25">
      <c r="A487">
        <v>240.30606760196306</v>
      </c>
      <c r="B487">
        <v>266.82440165602065</v>
      </c>
      <c r="C487">
        <v>238.52930059866162</v>
      </c>
      <c r="D487">
        <v>239.39768937582846</v>
      </c>
      <c r="E487">
        <v>287.16003856146295</v>
      </c>
      <c r="F487">
        <v>257.55597284932469</v>
      </c>
      <c r="G487">
        <v>261.61864460678765</v>
      </c>
      <c r="H487">
        <v>261.07603573714789</v>
      </c>
      <c r="I487">
        <v>277.28163897747925</v>
      </c>
      <c r="J487">
        <v>298.9246637675331</v>
      </c>
      <c r="K487">
        <v>321.62914972779782</v>
      </c>
      <c r="L487">
        <v>374.89181006603292</v>
      </c>
    </row>
    <row r="488" spans="1:12" x14ac:dyDescent="0.25">
      <c r="A488">
        <v>237.64117329895845</v>
      </c>
      <c r="B488">
        <v>262.33057381536162</v>
      </c>
      <c r="C488">
        <v>237.07470231276392</v>
      </c>
      <c r="D488">
        <v>244.20328486151544</v>
      </c>
      <c r="E488">
        <v>266.20678114290695</v>
      </c>
      <c r="F488">
        <v>241.42994379549722</v>
      </c>
      <c r="G488">
        <v>242.5824903236886</v>
      </c>
      <c r="H488">
        <v>249.59493210791788</v>
      </c>
      <c r="I488">
        <v>275.89625399774752</v>
      </c>
      <c r="J488">
        <v>277.87344237148858</v>
      </c>
      <c r="K488">
        <v>291.15672590907218</v>
      </c>
      <c r="L488">
        <v>321.29420106650929</v>
      </c>
    </row>
    <row r="489" spans="1:12" x14ac:dyDescent="0.25">
      <c r="A489">
        <v>256.89055729314146</v>
      </c>
      <c r="B489">
        <v>273.82192438542836</v>
      </c>
      <c r="C489">
        <v>237.21304582731122</v>
      </c>
      <c r="D489">
        <v>236.08299087493691</v>
      </c>
      <c r="E489">
        <v>287.48264710122078</v>
      </c>
      <c r="F489">
        <v>260.84827603494068</v>
      </c>
      <c r="G489">
        <v>243.53376810935771</v>
      </c>
      <c r="H489">
        <v>269.71917029795782</v>
      </c>
      <c r="I489">
        <v>277.41506621495216</v>
      </c>
      <c r="J489">
        <v>281.96590653570536</v>
      </c>
      <c r="K489">
        <v>313.76432563038827</v>
      </c>
      <c r="L489">
        <v>349.30283916417181</v>
      </c>
    </row>
    <row r="490" spans="1:12" x14ac:dyDescent="0.25">
      <c r="A490">
        <v>255.7842794200445</v>
      </c>
      <c r="B490">
        <v>274.01972418781696</v>
      </c>
      <c r="C490">
        <v>238.572097873171</v>
      </c>
      <c r="D490">
        <v>247.1278273568235</v>
      </c>
      <c r="E490">
        <v>292.33266188993576</v>
      </c>
      <c r="F490">
        <v>268.71437488054511</v>
      </c>
      <c r="G490">
        <v>285.95484054571824</v>
      </c>
      <c r="H490">
        <v>288.17547203873437</v>
      </c>
      <c r="I490">
        <v>332.16010435394691</v>
      </c>
      <c r="J490">
        <v>338.76119378357595</v>
      </c>
      <c r="K490">
        <v>373.13735175998289</v>
      </c>
      <c r="L490">
        <v>441.67684575816145</v>
      </c>
    </row>
    <row r="491" spans="1:12" x14ac:dyDescent="0.25">
      <c r="A491">
        <v>244.33616932640922</v>
      </c>
      <c r="B491">
        <v>252.88265563813991</v>
      </c>
      <c r="C491">
        <v>224.31749310744979</v>
      </c>
      <c r="D491">
        <v>227.88018629434606</v>
      </c>
      <c r="E491">
        <v>259.77039253407673</v>
      </c>
      <c r="F491">
        <v>229.73859725015217</v>
      </c>
      <c r="G491">
        <v>242.20581851224554</v>
      </c>
      <c r="H491">
        <v>243.52226650223443</v>
      </c>
      <c r="I491">
        <v>243.91277273881005</v>
      </c>
      <c r="J491">
        <v>253.09854266423523</v>
      </c>
      <c r="K491">
        <v>283.68201336007394</v>
      </c>
      <c r="L491">
        <v>314.79614569897535</v>
      </c>
    </row>
    <row r="492" spans="1:12" x14ac:dyDescent="0.25">
      <c r="A492">
        <v>222.21413333521281</v>
      </c>
      <c r="B492">
        <v>243.33668473947412</v>
      </c>
      <c r="C492">
        <v>227.47708262167063</v>
      </c>
      <c r="D492">
        <v>229.99239682893699</v>
      </c>
      <c r="E492">
        <v>261.96306958430836</v>
      </c>
      <c r="F492">
        <v>231.38152574738888</v>
      </c>
      <c r="G492">
        <v>242.49104774919334</v>
      </c>
      <c r="H492">
        <v>248.00703535054467</v>
      </c>
      <c r="I492">
        <v>281.89543413176938</v>
      </c>
      <c r="J492">
        <v>278.79263671101836</v>
      </c>
      <c r="K492">
        <v>273.69284273758103</v>
      </c>
      <c r="L492">
        <v>328.43979721481634</v>
      </c>
    </row>
    <row r="493" spans="1:12" x14ac:dyDescent="0.25">
      <c r="A493">
        <v>240.30601742513551</v>
      </c>
      <c r="B493">
        <v>261.23016252575366</v>
      </c>
      <c r="C493">
        <v>249.18567729806409</v>
      </c>
      <c r="D493">
        <v>248.83594548027463</v>
      </c>
      <c r="E493">
        <v>293.38682005477006</v>
      </c>
      <c r="F493">
        <v>247.74043272510878</v>
      </c>
      <c r="G493">
        <v>258.54884051833113</v>
      </c>
      <c r="H493">
        <v>260.11887368202611</v>
      </c>
      <c r="I493">
        <v>295.24478877792825</v>
      </c>
      <c r="J493">
        <v>307.18477819785244</v>
      </c>
      <c r="K493">
        <v>313.86210117749869</v>
      </c>
      <c r="L493">
        <v>379.12502520067716</v>
      </c>
    </row>
    <row r="494" spans="1:12" x14ac:dyDescent="0.25">
      <c r="A494">
        <v>238.31823440277222</v>
      </c>
      <c r="B494">
        <v>241.89870081446887</v>
      </c>
      <c r="C494">
        <v>228.43636634034095</v>
      </c>
      <c r="D494">
        <v>242.20080891784437</v>
      </c>
      <c r="E494">
        <v>279.40685057743121</v>
      </c>
      <c r="F494">
        <v>217.97507711251362</v>
      </c>
      <c r="G494">
        <v>233.26676321748403</v>
      </c>
      <c r="H494">
        <v>246.16400655293285</v>
      </c>
      <c r="I494">
        <v>268.2292249049687</v>
      </c>
      <c r="J494">
        <v>278.13114395512048</v>
      </c>
      <c r="K494">
        <v>301.09978615983903</v>
      </c>
      <c r="L494">
        <v>339.87192703870096</v>
      </c>
    </row>
    <row r="495" spans="1:12" x14ac:dyDescent="0.25">
      <c r="A495">
        <v>240.29229699791148</v>
      </c>
      <c r="B495">
        <v>284.16198183004036</v>
      </c>
      <c r="C495">
        <v>248.0438863487135</v>
      </c>
      <c r="D495">
        <v>252.83354503918204</v>
      </c>
      <c r="E495">
        <v>286.38413827769733</v>
      </c>
      <c r="F495">
        <v>288.02664337196182</v>
      </c>
      <c r="G495">
        <v>273.26070696595082</v>
      </c>
      <c r="H495">
        <v>285.25078215895189</v>
      </c>
      <c r="I495">
        <v>301.05009648618812</v>
      </c>
      <c r="J495">
        <v>329.56326714759359</v>
      </c>
      <c r="K495">
        <v>354.86101747813592</v>
      </c>
      <c r="L495">
        <v>421.03335803092938</v>
      </c>
    </row>
    <row r="496" spans="1:12" x14ac:dyDescent="0.25">
      <c r="A496">
        <v>243.76693575826897</v>
      </c>
      <c r="B496">
        <v>272.69263058058038</v>
      </c>
      <c r="C496">
        <v>253.48663370428596</v>
      </c>
      <c r="D496">
        <v>240.5075631291331</v>
      </c>
      <c r="E496">
        <v>281.17341552943105</v>
      </c>
      <c r="F496">
        <v>249.45537647059686</v>
      </c>
      <c r="G496">
        <v>261.51300425484823</v>
      </c>
      <c r="H496">
        <v>265.13131090968449</v>
      </c>
      <c r="I496">
        <v>304.97466602591925</v>
      </c>
      <c r="J496">
        <v>313.53037693406549</v>
      </c>
      <c r="K496">
        <v>333.48583125536692</v>
      </c>
      <c r="L496">
        <v>382.13522214958294</v>
      </c>
    </row>
    <row r="497" spans="1:12" x14ac:dyDescent="0.25">
      <c r="A497">
        <v>234.15537666383847</v>
      </c>
      <c r="B497">
        <v>246.65009870808723</v>
      </c>
      <c r="C497">
        <v>228.85770431097899</v>
      </c>
      <c r="D497">
        <v>228.52468645416437</v>
      </c>
      <c r="E497">
        <v>263.31704526042961</v>
      </c>
      <c r="F497">
        <v>223.70581373995063</v>
      </c>
      <c r="G497">
        <v>234.53703473947755</v>
      </c>
      <c r="H497">
        <v>238.54829848529243</v>
      </c>
      <c r="I497">
        <v>264.15725838039481</v>
      </c>
      <c r="J497">
        <v>276.81006502274153</v>
      </c>
      <c r="K497">
        <v>308.58023506227198</v>
      </c>
      <c r="L497">
        <v>333.92021805600672</v>
      </c>
    </row>
    <row r="498" spans="1:12" x14ac:dyDescent="0.25">
      <c r="A498">
        <v>258.24226941137965</v>
      </c>
      <c r="B498">
        <v>265.64465231784084</v>
      </c>
      <c r="C498">
        <v>245.90236228575941</v>
      </c>
      <c r="D498">
        <v>241.86676093880905</v>
      </c>
      <c r="E498">
        <v>298.74030035382509</v>
      </c>
      <c r="F498">
        <v>260.80750751842788</v>
      </c>
      <c r="G498">
        <v>269.18003190764693</v>
      </c>
      <c r="H498">
        <v>263.39740413620137</v>
      </c>
      <c r="I498">
        <v>306.0566471592233</v>
      </c>
      <c r="J498">
        <v>323.64395875570182</v>
      </c>
      <c r="K498">
        <v>330.22005786744904</v>
      </c>
      <c r="L498">
        <v>379.84624097337246</v>
      </c>
    </row>
    <row r="499" spans="1:12" x14ac:dyDescent="0.25">
      <c r="A499">
        <v>243.48217569903414</v>
      </c>
      <c r="B499">
        <v>266.44870632636241</v>
      </c>
      <c r="C499">
        <v>228.80826315128755</v>
      </c>
      <c r="D499">
        <v>266.13563506686779</v>
      </c>
      <c r="E499">
        <v>269.44749403202854</v>
      </c>
      <c r="F499">
        <v>251.43189004414918</v>
      </c>
      <c r="G499">
        <v>268.61839219707656</v>
      </c>
      <c r="H499">
        <v>282.62605948411112</v>
      </c>
      <c r="I499">
        <v>313.60178851844205</v>
      </c>
      <c r="J499">
        <v>300.86952378853152</v>
      </c>
      <c r="K499">
        <v>342.88756790141895</v>
      </c>
      <c r="L499">
        <v>392.76822933966656</v>
      </c>
    </row>
    <row r="500" spans="1:12" x14ac:dyDescent="0.25">
      <c r="A500">
        <v>249.87675951738066</v>
      </c>
      <c r="B500">
        <v>260.21560879047814</v>
      </c>
      <c r="C500">
        <v>241.70651666024784</v>
      </c>
      <c r="D500">
        <v>218.21746356491616</v>
      </c>
      <c r="E500">
        <v>258.93967354620378</v>
      </c>
      <c r="F500">
        <v>237.17043663887191</v>
      </c>
      <c r="G500">
        <v>242.61895447728631</v>
      </c>
      <c r="H500">
        <v>252.6312747085455</v>
      </c>
      <c r="I500">
        <v>266.24651618538627</v>
      </c>
      <c r="J500">
        <v>262.66458327369509</v>
      </c>
      <c r="K500">
        <v>290.36004410934567</v>
      </c>
      <c r="L500">
        <v>339.90165554817395</v>
      </c>
    </row>
    <row r="501" spans="1:12" x14ac:dyDescent="0.25">
      <c r="A501">
        <v>233.45449747828195</v>
      </c>
      <c r="B501">
        <v>254.51592783377473</v>
      </c>
      <c r="C501">
        <v>239.75761397640693</v>
      </c>
      <c r="D501">
        <v>243.0665855857942</v>
      </c>
      <c r="E501">
        <v>277.87223384047547</v>
      </c>
      <c r="F501">
        <v>224.0457125423797</v>
      </c>
      <c r="G501">
        <v>253.69713248098537</v>
      </c>
      <c r="H501">
        <v>251.27726033530291</v>
      </c>
      <c r="I501">
        <v>292.00756463755903</v>
      </c>
      <c r="J501">
        <v>299.55259109197459</v>
      </c>
      <c r="K501">
        <v>295.15417235790727</v>
      </c>
      <c r="L501">
        <v>373.08086557315909</v>
      </c>
    </row>
    <row r="502" spans="1:12" x14ac:dyDescent="0.25">
      <c r="A502">
        <v>237.7354419656786</v>
      </c>
      <c r="B502">
        <v>256.35055735048508</v>
      </c>
      <c r="C502">
        <v>235.75163900708321</v>
      </c>
      <c r="D502">
        <v>239.30725395031732</v>
      </c>
      <c r="E502">
        <v>281.26885056331071</v>
      </c>
      <c r="F502">
        <v>253.39805163781412</v>
      </c>
      <c r="G502">
        <v>236.13943710730615</v>
      </c>
      <c r="H502">
        <v>238.39638255764859</v>
      </c>
      <c r="I502">
        <v>260.67253286025721</v>
      </c>
      <c r="J502">
        <v>270.23808012115802</v>
      </c>
      <c r="K502">
        <v>291.72450440633514</v>
      </c>
      <c r="L502">
        <v>335.1446266862576</v>
      </c>
    </row>
    <row r="503" spans="1:12" x14ac:dyDescent="0.25">
      <c r="A503">
        <v>230.42788467552666</v>
      </c>
      <c r="B503">
        <v>244.07470563237217</v>
      </c>
      <c r="C503">
        <v>231.34561442954436</v>
      </c>
      <c r="D503">
        <v>224.51698266855541</v>
      </c>
      <c r="E503">
        <v>264.66633349802339</v>
      </c>
      <c r="F503">
        <v>230.76290937072332</v>
      </c>
      <c r="G503">
        <v>243.10907269273397</v>
      </c>
      <c r="H503">
        <v>256.12612656946544</v>
      </c>
      <c r="I503">
        <v>272.76210646024452</v>
      </c>
      <c r="J503">
        <v>273.31063338593526</v>
      </c>
      <c r="K503">
        <v>284.14679329871228</v>
      </c>
      <c r="L503">
        <v>335.79155604434442</v>
      </c>
    </row>
    <row r="504" spans="1:12" x14ac:dyDescent="0.25">
      <c r="A504">
        <v>253.58096730763998</v>
      </c>
      <c r="B504">
        <v>274.44784452328526</v>
      </c>
      <c r="C504">
        <v>243.23551780338153</v>
      </c>
      <c r="D504">
        <v>240.5242814287395</v>
      </c>
      <c r="E504">
        <v>288.68123452751888</v>
      </c>
      <c r="F504">
        <v>267.12119309796907</v>
      </c>
      <c r="G504">
        <v>267.60180644811396</v>
      </c>
      <c r="H504">
        <v>274.03218673480757</v>
      </c>
      <c r="I504">
        <v>302.70876821315272</v>
      </c>
      <c r="J504">
        <v>321.03941081167767</v>
      </c>
      <c r="K504">
        <v>331.83025025713425</v>
      </c>
      <c r="L504">
        <v>389.50126066134601</v>
      </c>
    </row>
    <row r="505" spans="1:12" x14ac:dyDescent="0.25">
      <c r="A505">
        <v>252.71363986401954</v>
      </c>
      <c r="B505">
        <v>262.02205211581901</v>
      </c>
      <c r="C505">
        <v>237.58414889336066</v>
      </c>
      <c r="D505">
        <v>251.83574379993254</v>
      </c>
      <c r="E505">
        <v>284.74726496045133</v>
      </c>
      <c r="F505">
        <v>256.10730184630751</v>
      </c>
      <c r="G505">
        <v>253.647223272096</v>
      </c>
      <c r="H505">
        <v>257.10103904739509</v>
      </c>
      <c r="I505">
        <v>288.2286673139098</v>
      </c>
      <c r="J505">
        <v>279.88115619649818</v>
      </c>
      <c r="K505">
        <v>303.96482562602034</v>
      </c>
      <c r="L505">
        <v>354.92198789214098</v>
      </c>
    </row>
    <row r="506" spans="1:12" x14ac:dyDescent="0.25">
      <c r="A506">
        <v>245.18650141953609</v>
      </c>
      <c r="B506">
        <v>270.6998352998973</v>
      </c>
      <c r="C506">
        <v>254.02607011249137</v>
      </c>
      <c r="D506">
        <v>237.85946373499698</v>
      </c>
      <c r="E506">
        <v>277.24559594618182</v>
      </c>
      <c r="F506">
        <v>269.53845552546704</v>
      </c>
      <c r="G506">
        <v>267.40457723698353</v>
      </c>
      <c r="H506">
        <v>256.13025735027935</v>
      </c>
      <c r="I506">
        <v>299.3452217446835</v>
      </c>
      <c r="J506">
        <v>304.09170319671966</v>
      </c>
      <c r="K506">
        <v>318.49316369404193</v>
      </c>
      <c r="L506">
        <v>372.04992411948524</v>
      </c>
    </row>
    <row r="507" spans="1:12" x14ac:dyDescent="0.25">
      <c r="A507">
        <v>251.62899215676549</v>
      </c>
      <c r="B507">
        <v>254.03512953088091</v>
      </c>
      <c r="C507">
        <v>254.38738476628706</v>
      </c>
      <c r="D507">
        <v>252.28142368323921</v>
      </c>
      <c r="E507">
        <v>282.71355262975067</v>
      </c>
      <c r="F507">
        <v>262.64852676677657</v>
      </c>
      <c r="G507">
        <v>258.0582151426733</v>
      </c>
      <c r="H507">
        <v>258.08504267971051</v>
      </c>
      <c r="I507">
        <v>279.27842598996079</v>
      </c>
      <c r="J507">
        <v>301.79069171171727</v>
      </c>
      <c r="K507">
        <v>304.78074880036155</v>
      </c>
      <c r="L507">
        <v>354.09702413192326</v>
      </c>
    </row>
    <row r="508" spans="1:12" x14ac:dyDescent="0.25">
      <c r="A508">
        <v>248.86865852447229</v>
      </c>
      <c r="B508">
        <v>276.63638302108359</v>
      </c>
      <c r="C508">
        <v>223.24695802047847</v>
      </c>
      <c r="D508">
        <v>234.95704812162165</v>
      </c>
      <c r="E508">
        <v>265.95615812838281</v>
      </c>
      <c r="F508">
        <v>245.64610060812535</v>
      </c>
      <c r="G508">
        <v>254.12720343375381</v>
      </c>
      <c r="H508">
        <v>255.89803009107084</v>
      </c>
      <c r="I508">
        <v>277.4741115329432</v>
      </c>
      <c r="J508">
        <v>289.24497755857959</v>
      </c>
      <c r="K508">
        <v>298.86132907930693</v>
      </c>
      <c r="L508">
        <v>345.17443055004657</v>
      </c>
    </row>
    <row r="509" spans="1:12" x14ac:dyDescent="0.25">
      <c r="A509">
        <v>241.75034186432052</v>
      </c>
      <c r="B509">
        <v>251.04902065109337</v>
      </c>
      <c r="C509">
        <v>239.59047189021354</v>
      </c>
      <c r="D509">
        <v>239.06035731891316</v>
      </c>
      <c r="E509">
        <v>270.55353852779211</v>
      </c>
      <c r="F509">
        <v>228.89084067791907</v>
      </c>
      <c r="G509">
        <v>243.55851343797181</v>
      </c>
      <c r="H509">
        <v>250.58817005391128</v>
      </c>
      <c r="I509">
        <v>259.93021944480785</v>
      </c>
      <c r="J509">
        <v>275.61869856991433</v>
      </c>
      <c r="K509">
        <v>286.02725489760252</v>
      </c>
      <c r="L509">
        <v>319.18225786098026</v>
      </c>
    </row>
    <row r="510" spans="1:12" x14ac:dyDescent="0.25">
      <c r="A510">
        <v>234.72819586088161</v>
      </c>
      <c r="B510">
        <v>264.3803832834119</v>
      </c>
      <c r="C510">
        <v>219.19659888088955</v>
      </c>
      <c r="D510">
        <v>222.36463781747605</v>
      </c>
      <c r="E510">
        <v>256.88021629097545</v>
      </c>
      <c r="F510">
        <v>234.32293761751342</v>
      </c>
      <c r="G510">
        <v>254.15762042104697</v>
      </c>
      <c r="H510">
        <v>248.45955306266296</v>
      </c>
      <c r="I510">
        <v>263.14676832299779</v>
      </c>
      <c r="J510">
        <v>293.32187347674915</v>
      </c>
      <c r="K510">
        <v>282.39617946907913</v>
      </c>
      <c r="L510">
        <v>335.25316398959365</v>
      </c>
    </row>
    <row r="511" spans="1:12" x14ac:dyDescent="0.25">
      <c r="A511">
        <v>248.8246607589488</v>
      </c>
      <c r="B511">
        <v>258.731065072337</v>
      </c>
      <c r="C511">
        <v>224.00873460071921</v>
      </c>
      <c r="D511">
        <v>225.536002038665</v>
      </c>
      <c r="E511">
        <v>256.43490797507928</v>
      </c>
      <c r="F511">
        <v>226.21702675925206</v>
      </c>
      <c r="G511">
        <v>247.02471483089874</v>
      </c>
      <c r="H511">
        <v>243.8552511240124</v>
      </c>
      <c r="I511">
        <v>267.76460975561054</v>
      </c>
      <c r="J511">
        <v>268.87367624682497</v>
      </c>
      <c r="K511">
        <v>290.24391403684166</v>
      </c>
      <c r="L511">
        <v>302.76939696162418</v>
      </c>
    </row>
    <row r="512" spans="1:12" x14ac:dyDescent="0.25">
      <c r="A512">
        <v>245.11857134984348</v>
      </c>
      <c r="B512">
        <v>245.86795484783346</v>
      </c>
      <c r="C512">
        <v>231.8657463630793</v>
      </c>
      <c r="D512">
        <v>246.59624688412802</v>
      </c>
      <c r="E512">
        <v>271.74160553692241</v>
      </c>
      <c r="F512">
        <v>253.17312288493076</v>
      </c>
      <c r="G512">
        <v>261.35245927108485</v>
      </c>
      <c r="H512">
        <v>272.72792931603408</v>
      </c>
      <c r="I512">
        <v>263.79220690379651</v>
      </c>
      <c r="J512">
        <v>301.59861632525298</v>
      </c>
      <c r="K512">
        <v>309.50402060628181</v>
      </c>
      <c r="L512">
        <v>373.16362390233741</v>
      </c>
    </row>
    <row r="513" spans="1:12" x14ac:dyDescent="0.25">
      <c r="A513">
        <v>240.42501279017512</v>
      </c>
      <c r="B513">
        <v>251.92713571350231</v>
      </c>
      <c r="C513">
        <v>235.14909305435219</v>
      </c>
      <c r="D513">
        <v>233.37391146544621</v>
      </c>
      <c r="E513">
        <v>283.30328343255286</v>
      </c>
      <c r="F513">
        <v>235.72732213297863</v>
      </c>
      <c r="G513">
        <v>246.04696428458041</v>
      </c>
      <c r="H513">
        <v>256.49058995457591</v>
      </c>
      <c r="I513">
        <v>270.35961859632579</v>
      </c>
      <c r="J513">
        <v>271.67204864218928</v>
      </c>
      <c r="K513">
        <v>267.74691540861966</v>
      </c>
      <c r="L513">
        <v>330.95608614945144</v>
      </c>
    </row>
    <row r="514" spans="1:12" x14ac:dyDescent="0.25">
      <c r="A514">
        <v>240.11543325465675</v>
      </c>
      <c r="B514">
        <v>264.02507699078643</v>
      </c>
      <c r="C514">
        <v>248.00037514341412</v>
      </c>
      <c r="D514">
        <v>239.91748123730375</v>
      </c>
      <c r="E514">
        <v>295.58637936987139</v>
      </c>
      <c r="F514">
        <v>251.07689695339204</v>
      </c>
      <c r="G514">
        <v>269.73051247784065</v>
      </c>
      <c r="H514">
        <v>278.4686448778159</v>
      </c>
      <c r="I514">
        <v>293.48975497185052</v>
      </c>
      <c r="J514">
        <v>315.00711079761027</v>
      </c>
      <c r="K514">
        <v>319.88744557339902</v>
      </c>
      <c r="L514">
        <v>352.56703976640108</v>
      </c>
    </row>
    <row r="515" spans="1:12" x14ac:dyDescent="0.25">
      <c r="A515">
        <v>248.59457445971455</v>
      </c>
      <c r="B515">
        <v>257.38913599469959</v>
      </c>
      <c r="C515">
        <v>250.77970199420284</v>
      </c>
      <c r="D515">
        <v>244.53487821037743</v>
      </c>
      <c r="E515">
        <v>284.41253165703529</v>
      </c>
      <c r="F515">
        <v>253.05757991505493</v>
      </c>
      <c r="G515">
        <v>248.68037713023588</v>
      </c>
      <c r="H515">
        <v>280.25423266501775</v>
      </c>
      <c r="I515">
        <v>295.66580086520861</v>
      </c>
      <c r="J515">
        <v>295.29741482449981</v>
      </c>
      <c r="K515">
        <v>332.6009392706946</v>
      </c>
      <c r="L515">
        <v>375.58085154702832</v>
      </c>
    </row>
    <row r="516" spans="1:12" x14ac:dyDescent="0.25">
      <c r="A516">
        <v>238.57134570146746</v>
      </c>
      <c r="B516">
        <v>259.84710079004577</v>
      </c>
      <c r="C516">
        <v>247.56155217711441</v>
      </c>
      <c r="D516">
        <v>231.00216561584787</v>
      </c>
      <c r="E516">
        <v>276.76613519692972</v>
      </c>
      <c r="F516">
        <v>265.46840223764292</v>
      </c>
      <c r="G516">
        <v>264.37502828141066</v>
      </c>
      <c r="H516">
        <v>280.2305635540709</v>
      </c>
      <c r="I516">
        <v>316.79841859265099</v>
      </c>
      <c r="J516">
        <v>322.90393794123736</v>
      </c>
      <c r="K516">
        <v>348.47677986881376</v>
      </c>
      <c r="L516">
        <v>401.78570913935425</v>
      </c>
    </row>
    <row r="517" spans="1:12" x14ac:dyDescent="0.25">
      <c r="A517">
        <v>264.24676972598263</v>
      </c>
      <c r="B517">
        <v>274.95398669948992</v>
      </c>
      <c r="C517">
        <v>239.77145209873458</v>
      </c>
      <c r="D517">
        <v>244.21861617369294</v>
      </c>
      <c r="E517">
        <v>276.53475799542838</v>
      </c>
      <c r="F517">
        <v>246.73032515825508</v>
      </c>
      <c r="G517">
        <v>263.88155176320629</v>
      </c>
      <c r="H517">
        <v>279.18236816689858</v>
      </c>
      <c r="I517">
        <v>300.13344894940883</v>
      </c>
      <c r="J517">
        <v>308.67922417586914</v>
      </c>
      <c r="K517">
        <v>309.27307994077211</v>
      </c>
      <c r="L517">
        <v>373.63461703808701</v>
      </c>
    </row>
    <row r="518" spans="1:12" x14ac:dyDescent="0.25">
      <c r="A518">
        <v>256.15346660848377</v>
      </c>
      <c r="B518">
        <v>266.27843860824538</v>
      </c>
      <c r="C518">
        <v>250.57861225079967</v>
      </c>
      <c r="D518">
        <v>234.93950373641422</v>
      </c>
      <c r="E518">
        <v>274.1371919341795</v>
      </c>
      <c r="F518">
        <v>250.63639685376711</v>
      </c>
      <c r="G518">
        <v>263.38231461542784</v>
      </c>
      <c r="H518">
        <v>265.4272796282649</v>
      </c>
      <c r="I518">
        <v>288.36443741235161</v>
      </c>
      <c r="J518">
        <v>289.27987893904327</v>
      </c>
      <c r="K518">
        <v>319.93426990070867</v>
      </c>
      <c r="L518">
        <v>372.25762543059892</v>
      </c>
    </row>
    <row r="519" spans="1:12" x14ac:dyDescent="0.25">
      <c r="A519">
        <v>251.06829544859139</v>
      </c>
      <c r="B519">
        <v>282.25533580185146</v>
      </c>
      <c r="C519">
        <v>241.74852707083119</v>
      </c>
      <c r="D519">
        <v>248.46511614435173</v>
      </c>
      <c r="E519">
        <v>285.4518585418445</v>
      </c>
      <c r="F519">
        <v>278.51019040384426</v>
      </c>
      <c r="G519">
        <v>262.57711765419202</v>
      </c>
      <c r="H519">
        <v>273.60933603937394</v>
      </c>
      <c r="I519">
        <v>279.01371184357163</v>
      </c>
      <c r="J519">
        <v>314.26631248809116</v>
      </c>
      <c r="K519">
        <v>302.06798360465029</v>
      </c>
      <c r="L519">
        <v>369.11435693680687</v>
      </c>
    </row>
    <row r="520" spans="1:12" x14ac:dyDescent="0.25">
      <c r="A520">
        <v>239.17171154606345</v>
      </c>
      <c r="B520">
        <v>269.09102520221376</v>
      </c>
      <c r="C520">
        <v>249.11717762049247</v>
      </c>
      <c r="D520">
        <v>231.15672388479524</v>
      </c>
      <c r="E520">
        <v>294.57179860906069</v>
      </c>
      <c r="F520">
        <v>232.68700616450099</v>
      </c>
      <c r="G520">
        <v>276.55721156758216</v>
      </c>
      <c r="H520">
        <v>287.80638974084695</v>
      </c>
      <c r="I520">
        <v>286.2701218171303</v>
      </c>
      <c r="J520">
        <v>304.82764989597115</v>
      </c>
      <c r="K520">
        <v>325.18744568863787</v>
      </c>
      <c r="L520">
        <v>353.16520671760793</v>
      </c>
    </row>
    <row r="521" spans="1:12" x14ac:dyDescent="0.25">
      <c r="A521">
        <v>254.23257943201372</v>
      </c>
      <c r="B521">
        <v>249.67654625828209</v>
      </c>
      <c r="C521">
        <v>228.39159802879348</v>
      </c>
      <c r="D521">
        <v>255.97993546345478</v>
      </c>
      <c r="E521">
        <v>268.37022091678574</v>
      </c>
      <c r="F521">
        <v>244.85751167492066</v>
      </c>
      <c r="G521">
        <v>259.33028464924257</v>
      </c>
      <c r="H521">
        <v>273.37720043361929</v>
      </c>
      <c r="I521">
        <v>270.39261889518082</v>
      </c>
      <c r="J521">
        <v>286.68276131285694</v>
      </c>
      <c r="K521">
        <v>309.35670651707289</v>
      </c>
      <c r="L521">
        <v>363.09956085704937</v>
      </c>
    </row>
    <row r="522" spans="1:12" x14ac:dyDescent="0.25">
      <c r="A522">
        <v>244.45702525230712</v>
      </c>
      <c r="B522">
        <v>282.69879697738088</v>
      </c>
      <c r="C522">
        <v>245.90362037516906</v>
      </c>
      <c r="D522">
        <v>246.081022184815</v>
      </c>
      <c r="E522">
        <v>303.99765826004051</v>
      </c>
      <c r="F522">
        <v>278.01485169079939</v>
      </c>
      <c r="G522">
        <v>281.14518184601627</v>
      </c>
      <c r="H522">
        <v>293.72039064557845</v>
      </c>
      <c r="I522">
        <v>319.70339073749437</v>
      </c>
      <c r="J522">
        <v>339.19416704768099</v>
      </c>
      <c r="K522">
        <v>363.24525109420836</v>
      </c>
      <c r="L522">
        <v>429.07386846114798</v>
      </c>
    </row>
    <row r="523" spans="1:12" x14ac:dyDescent="0.25">
      <c r="A523">
        <v>243.38188414852328</v>
      </c>
      <c r="B523">
        <v>265.23066084385471</v>
      </c>
      <c r="C523">
        <v>247.07672388150837</v>
      </c>
      <c r="D523">
        <v>251.64264712395303</v>
      </c>
      <c r="E523">
        <v>309.71517771165531</v>
      </c>
      <c r="F523">
        <v>242.19180400716061</v>
      </c>
      <c r="G523">
        <v>246.04894324514498</v>
      </c>
      <c r="H523">
        <v>266.90742278950762</v>
      </c>
      <c r="I523">
        <v>284.33751021745883</v>
      </c>
      <c r="J523">
        <v>302.89998459765241</v>
      </c>
      <c r="K523">
        <v>321.7218663335247</v>
      </c>
      <c r="L523">
        <v>351.56801190922175</v>
      </c>
    </row>
    <row r="524" spans="1:12" x14ac:dyDescent="0.25">
      <c r="A524">
        <v>250.23332153696305</v>
      </c>
      <c r="B524">
        <v>265.41382118006015</v>
      </c>
      <c r="C524">
        <v>233.66520760307407</v>
      </c>
      <c r="D524">
        <v>243.56896503868751</v>
      </c>
      <c r="E524">
        <v>275.42465416977603</v>
      </c>
      <c r="F524">
        <v>240.01867239879221</v>
      </c>
      <c r="G524">
        <v>243.6780925996519</v>
      </c>
      <c r="H524">
        <v>259.5763116354172</v>
      </c>
      <c r="I524">
        <v>281.97988776921761</v>
      </c>
      <c r="J524">
        <v>283.41470245639698</v>
      </c>
      <c r="K524">
        <v>316.57810516977207</v>
      </c>
      <c r="L524">
        <v>358.25937853174963</v>
      </c>
    </row>
    <row r="525" spans="1:12" x14ac:dyDescent="0.25">
      <c r="A525">
        <v>262.31394532986241</v>
      </c>
      <c r="B525">
        <v>277.54559841577179</v>
      </c>
      <c r="C525">
        <v>256.39257669100573</v>
      </c>
      <c r="D525">
        <v>247.13662970879631</v>
      </c>
      <c r="E525">
        <v>304.34992756749347</v>
      </c>
      <c r="F525">
        <v>266.97358596542927</v>
      </c>
      <c r="G525">
        <v>286.96305505491847</v>
      </c>
      <c r="H525">
        <v>285.42743313951365</v>
      </c>
      <c r="I525">
        <v>324.41507035770599</v>
      </c>
      <c r="J525">
        <v>337.71792650727798</v>
      </c>
      <c r="K525">
        <v>347.96832213026499</v>
      </c>
      <c r="L525">
        <v>411.6252618829476</v>
      </c>
    </row>
    <row r="526" spans="1:12" x14ac:dyDescent="0.25">
      <c r="A526">
        <v>244.53861545885931</v>
      </c>
      <c r="B526">
        <v>264.80892803714465</v>
      </c>
      <c r="C526">
        <v>236.95256276583817</v>
      </c>
      <c r="D526">
        <v>227.08996400285997</v>
      </c>
      <c r="E526">
        <v>267.57569552142223</v>
      </c>
      <c r="F526">
        <v>226.74102519431548</v>
      </c>
      <c r="G526">
        <v>249.67788986061544</v>
      </c>
      <c r="H526">
        <v>250.0203278681299</v>
      </c>
      <c r="I526">
        <v>269.72769851948141</v>
      </c>
      <c r="J526">
        <v>290.40522693499878</v>
      </c>
      <c r="K526">
        <v>302.13562806332811</v>
      </c>
      <c r="L526">
        <v>352.08876452211695</v>
      </c>
    </row>
    <row r="527" spans="1:12" x14ac:dyDescent="0.25">
      <c r="A527">
        <v>252.35844660161945</v>
      </c>
      <c r="B527">
        <v>265.31166751607731</v>
      </c>
      <c r="C527">
        <v>261.75162899205469</v>
      </c>
      <c r="D527">
        <v>260.19632231794236</v>
      </c>
      <c r="E527">
        <v>277.66231954729574</v>
      </c>
      <c r="F527">
        <v>256.75247669283272</v>
      </c>
      <c r="G527">
        <v>283.1649855820134</v>
      </c>
      <c r="H527">
        <v>288.33578168231907</v>
      </c>
      <c r="I527">
        <v>325.95895708493185</v>
      </c>
      <c r="J527">
        <v>334.02499878509798</v>
      </c>
      <c r="K527">
        <v>361.33366921498879</v>
      </c>
      <c r="L527">
        <v>429.18204049405279</v>
      </c>
    </row>
    <row r="528" spans="1:12" x14ac:dyDescent="0.25">
      <c r="A528">
        <v>250.9395247687699</v>
      </c>
      <c r="B528">
        <v>264.43359318692734</v>
      </c>
      <c r="C528">
        <v>227.41448708298415</v>
      </c>
      <c r="D528">
        <v>215.71865165184107</v>
      </c>
      <c r="E528">
        <v>256.91806974411179</v>
      </c>
      <c r="F528">
        <v>250.21899009223861</v>
      </c>
      <c r="G528">
        <v>249.27343041922998</v>
      </c>
      <c r="H528">
        <v>240.81921447659749</v>
      </c>
      <c r="I528">
        <v>270.8169705123326</v>
      </c>
      <c r="J528">
        <v>279.53533686245709</v>
      </c>
      <c r="K528">
        <v>296.90599775525891</v>
      </c>
      <c r="L528">
        <v>344.21345634696723</v>
      </c>
    </row>
    <row r="529" spans="1:12" x14ac:dyDescent="0.25">
      <c r="A529">
        <v>260.36338022026644</v>
      </c>
      <c r="B529">
        <v>269.53612162159072</v>
      </c>
      <c r="C529">
        <v>237.03559041600599</v>
      </c>
      <c r="D529">
        <v>235.02583239731021</v>
      </c>
      <c r="E529">
        <v>296.27200554359371</v>
      </c>
      <c r="F529">
        <v>265.8896164161593</v>
      </c>
      <c r="G529">
        <v>262.29005298791049</v>
      </c>
      <c r="H529">
        <v>271.60918261068815</v>
      </c>
      <c r="I529">
        <v>295.99888177733294</v>
      </c>
      <c r="J529">
        <v>332.2461139638371</v>
      </c>
      <c r="K529">
        <v>344.21854858183644</v>
      </c>
      <c r="L529">
        <v>423.49155528342891</v>
      </c>
    </row>
    <row r="530" spans="1:12" x14ac:dyDescent="0.25">
      <c r="A530">
        <v>242.48098913193905</v>
      </c>
      <c r="B530">
        <v>265.95684988476478</v>
      </c>
      <c r="C530">
        <v>232.21435781816101</v>
      </c>
      <c r="D530">
        <v>233.85284076199551</v>
      </c>
      <c r="E530">
        <v>269.96567640034061</v>
      </c>
      <c r="F530">
        <v>244.35930257217149</v>
      </c>
      <c r="G530">
        <v>254.05279727859374</v>
      </c>
      <c r="H530">
        <v>268.00389762604988</v>
      </c>
      <c r="I530">
        <v>280.9081632652817</v>
      </c>
      <c r="J530">
        <v>304.97381399053143</v>
      </c>
      <c r="K530">
        <v>330.72711510646121</v>
      </c>
      <c r="L530">
        <v>372.79864551031233</v>
      </c>
    </row>
    <row r="531" spans="1:12" x14ac:dyDescent="0.25">
      <c r="A531">
        <v>242.26772935274101</v>
      </c>
      <c r="B531">
        <v>268.11278627641769</v>
      </c>
      <c r="C531">
        <v>254.33500732168611</v>
      </c>
      <c r="D531">
        <v>242.60856837648657</v>
      </c>
      <c r="E531">
        <v>315.26757109820801</v>
      </c>
      <c r="F531">
        <v>257.00106169395553</v>
      </c>
      <c r="G531">
        <v>280.33520338788759</v>
      </c>
      <c r="H531">
        <v>299.6691509183438</v>
      </c>
      <c r="I531">
        <v>293.13768007878718</v>
      </c>
      <c r="J531">
        <v>320.76168092514854</v>
      </c>
      <c r="K531">
        <v>333.45758569274545</v>
      </c>
      <c r="L531">
        <v>388.4890327148338</v>
      </c>
    </row>
    <row r="532" spans="1:12" x14ac:dyDescent="0.25">
      <c r="A532">
        <v>255.16601651692596</v>
      </c>
      <c r="B532">
        <v>260.68762878253432</v>
      </c>
      <c r="C532">
        <v>250.00188371823342</v>
      </c>
      <c r="D532">
        <v>240.82537597094284</v>
      </c>
      <c r="E532">
        <v>282.13867353180336</v>
      </c>
      <c r="F532">
        <v>243.5109672457059</v>
      </c>
      <c r="G532">
        <v>255.47273409990834</v>
      </c>
      <c r="H532">
        <v>262.88706688827966</v>
      </c>
      <c r="I532">
        <v>288.22356269148804</v>
      </c>
      <c r="J532">
        <v>319.70831340139836</v>
      </c>
      <c r="K532">
        <v>319.29207590263076</v>
      </c>
      <c r="L532">
        <v>372.27698668177663</v>
      </c>
    </row>
    <row r="533" spans="1:12" x14ac:dyDescent="0.25">
      <c r="A533">
        <v>235.19751750304374</v>
      </c>
      <c r="B533">
        <v>273.39549265322</v>
      </c>
      <c r="C533">
        <v>230.70946501367993</v>
      </c>
      <c r="D533">
        <v>246.03464768014271</v>
      </c>
      <c r="E533">
        <v>283.53406281172255</v>
      </c>
      <c r="F533">
        <v>260.57959954840533</v>
      </c>
      <c r="G533">
        <v>272.29699687630051</v>
      </c>
      <c r="H533">
        <v>261.7870116913374</v>
      </c>
      <c r="I533">
        <v>282.06118773119198</v>
      </c>
      <c r="J533">
        <v>304.21575397284494</v>
      </c>
      <c r="K533">
        <v>321.42326866172391</v>
      </c>
      <c r="L533">
        <v>371.74532775091933</v>
      </c>
    </row>
    <row r="534" spans="1:12" x14ac:dyDescent="0.25">
      <c r="A534">
        <v>241.38332720372793</v>
      </c>
      <c r="B534">
        <v>254.82049243723367</v>
      </c>
      <c r="C534">
        <v>236.28184095255168</v>
      </c>
      <c r="D534">
        <v>243.20658728200087</v>
      </c>
      <c r="E534">
        <v>269.22008385004358</v>
      </c>
      <c r="F534">
        <v>248.99272173603057</v>
      </c>
      <c r="G534">
        <v>235.59591083327686</v>
      </c>
      <c r="H534">
        <v>235.97739341555683</v>
      </c>
      <c r="I534">
        <v>271.48941947395139</v>
      </c>
      <c r="J534">
        <v>263.23354958239582</v>
      </c>
      <c r="K534">
        <v>284.70125382326955</v>
      </c>
      <c r="L534">
        <v>330.38175614446817</v>
      </c>
    </row>
    <row r="535" spans="1:12" x14ac:dyDescent="0.25">
      <c r="A535">
        <v>263.15659740365743</v>
      </c>
      <c r="B535">
        <v>261.77114944467297</v>
      </c>
      <c r="C535">
        <v>237.83956882014976</v>
      </c>
      <c r="D535">
        <v>246.35725744808227</v>
      </c>
      <c r="E535">
        <v>290.08254905718849</v>
      </c>
      <c r="F535">
        <v>261.06496180779266</v>
      </c>
      <c r="G535">
        <v>261.89190455592285</v>
      </c>
      <c r="H535">
        <v>281.75948702138589</v>
      </c>
      <c r="I535">
        <v>305.78216916422292</v>
      </c>
      <c r="J535">
        <v>318.40863979937939</v>
      </c>
      <c r="K535">
        <v>327.34380336358385</v>
      </c>
      <c r="L535">
        <v>374.69250260555191</v>
      </c>
    </row>
    <row r="536" spans="1:12" x14ac:dyDescent="0.25">
      <c r="A536">
        <v>242.29051056303106</v>
      </c>
      <c r="B536">
        <v>286.02430315125326</v>
      </c>
      <c r="C536">
        <v>262.76320925588232</v>
      </c>
      <c r="D536">
        <v>259.27928659138684</v>
      </c>
      <c r="E536">
        <v>311.79149637590274</v>
      </c>
      <c r="F536">
        <v>281.90003406209382</v>
      </c>
      <c r="G536">
        <v>278.75445157944415</v>
      </c>
      <c r="H536">
        <v>298.59294751852707</v>
      </c>
      <c r="I536">
        <v>322.66983099424669</v>
      </c>
      <c r="J536">
        <v>335.13978808197777</v>
      </c>
      <c r="K536">
        <v>364.93562456054531</v>
      </c>
      <c r="L536">
        <v>426.84309260525453</v>
      </c>
    </row>
    <row r="537" spans="1:12" x14ac:dyDescent="0.25">
      <c r="A537">
        <v>237.68632580714043</v>
      </c>
      <c r="B537">
        <v>264.35618203786117</v>
      </c>
      <c r="C537">
        <v>261.43748414533286</v>
      </c>
      <c r="D537">
        <v>232.49141169457414</v>
      </c>
      <c r="E537">
        <v>276.13462576692257</v>
      </c>
      <c r="F537">
        <v>255.69068837126676</v>
      </c>
      <c r="G537">
        <v>262.9854856847395</v>
      </c>
      <c r="H537">
        <v>277.65778138032454</v>
      </c>
      <c r="I537">
        <v>294.21036892485262</v>
      </c>
      <c r="J537">
        <v>301.96617303089761</v>
      </c>
      <c r="K537">
        <v>336.51793570272611</v>
      </c>
      <c r="L537">
        <v>385.67291741710847</v>
      </c>
    </row>
    <row r="538" spans="1:12" x14ac:dyDescent="0.25">
      <c r="A538">
        <v>262.05509981400496</v>
      </c>
      <c r="B538">
        <v>240.33293571894922</v>
      </c>
      <c r="C538">
        <v>257.12101442696786</v>
      </c>
      <c r="D538">
        <v>251.72569817101572</v>
      </c>
      <c r="E538">
        <v>291.42037378220442</v>
      </c>
      <c r="F538">
        <v>238.14904436821789</v>
      </c>
      <c r="G538">
        <v>243.80186522466857</v>
      </c>
      <c r="H538">
        <v>251.68605168882297</v>
      </c>
      <c r="I538">
        <v>278.02108378235783</v>
      </c>
      <c r="J538">
        <v>311.14833223409676</v>
      </c>
      <c r="K538">
        <v>311.59807353715007</v>
      </c>
      <c r="L538">
        <v>372.66258700241497</v>
      </c>
    </row>
    <row r="539" spans="1:12" x14ac:dyDescent="0.25">
      <c r="A539">
        <v>252.03564932496195</v>
      </c>
      <c r="B539">
        <v>263.40420062825388</v>
      </c>
      <c r="C539">
        <v>247.61250504948737</v>
      </c>
      <c r="D539">
        <v>244.13544465256973</v>
      </c>
      <c r="E539">
        <v>294.8534350716609</v>
      </c>
      <c r="F539">
        <v>254.41891156289708</v>
      </c>
      <c r="G539">
        <v>265.79244673032446</v>
      </c>
      <c r="H539">
        <v>281.3118963098018</v>
      </c>
      <c r="I539">
        <v>296.28672369014254</v>
      </c>
      <c r="J539">
        <v>314.76064042361236</v>
      </c>
      <c r="K539">
        <v>332.60342896407428</v>
      </c>
      <c r="L539">
        <v>384.27615612068399</v>
      </c>
    </row>
    <row r="540" spans="1:12" x14ac:dyDescent="0.25">
      <c r="A540">
        <v>242.84263659883717</v>
      </c>
      <c r="B540">
        <v>281.26931967885821</v>
      </c>
      <c r="C540">
        <v>238.76891949312619</v>
      </c>
      <c r="D540">
        <v>250.92425875665779</v>
      </c>
      <c r="E540">
        <v>289.47560735716354</v>
      </c>
      <c r="F540">
        <v>263.56232460693406</v>
      </c>
      <c r="G540">
        <v>263.86300051037387</v>
      </c>
      <c r="H540">
        <v>268.87799943300314</v>
      </c>
      <c r="I540">
        <v>311.3026244128564</v>
      </c>
      <c r="J540">
        <v>313.3861985628505</v>
      </c>
      <c r="K540">
        <v>331.69510324083558</v>
      </c>
      <c r="L540">
        <v>392.68284783298674</v>
      </c>
    </row>
    <row r="541" spans="1:12" x14ac:dyDescent="0.25">
      <c r="A541">
        <v>246.22124034133549</v>
      </c>
      <c r="B541">
        <v>262.76849051936642</v>
      </c>
      <c r="C541">
        <v>259.46397319320954</v>
      </c>
      <c r="D541">
        <v>237.43458591312043</v>
      </c>
      <c r="E541">
        <v>300.2949822409866</v>
      </c>
      <c r="F541">
        <v>260.68308437519164</v>
      </c>
      <c r="G541">
        <v>270.18839775284118</v>
      </c>
      <c r="H541">
        <v>278.45374315395554</v>
      </c>
      <c r="I541">
        <v>311.22639336394377</v>
      </c>
      <c r="J541">
        <v>331.71140666123182</v>
      </c>
      <c r="K541">
        <v>336.54556321938657</v>
      </c>
      <c r="L541">
        <v>420.86688094854196</v>
      </c>
    </row>
    <row r="542" spans="1:12" x14ac:dyDescent="0.25">
      <c r="A542">
        <v>236.77104813047777</v>
      </c>
      <c r="B542">
        <v>254.65082603703456</v>
      </c>
      <c r="C542">
        <v>234.74895594804369</v>
      </c>
      <c r="D542">
        <v>229.03374291195865</v>
      </c>
      <c r="E542">
        <v>268.80909635321507</v>
      </c>
      <c r="F542">
        <v>230.42164755942946</v>
      </c>
      <c r="G542">
        <v>226.10752811063418</v>
      </c>
      <c r="H542">
        <v>252.14191215558452</v>
      </c>
      <c r="I542">
        <v>264.74536395622494</v>
      </c>
      <c r="J542">
        <v>288.78130369749806</v>
      </c>
      <c r="K542">
        <v>305.41245040935615</v>
      </c>
      <c r="L542">
        <v>351.33641788470021</v>
      </c>
    </row>
    <row r="543" spans="1:12" x14ac:dyDescent="0.25">
      <c r="A543">
        <v>263.81474573686359</v>
      </c>
      <c r="B543">
        <v>276.32144438668945</v>
      </c>
      <c r="C543">
        <v>253.19340573130395</v>
      </c>
      <c r="D543">
        <v>264.19274191204698</v>
      </c>
      <c r="E543">
        <v>307.4268092889231</v>
      </c>
      <c r="F543">
        <v>273.96500375608389</v>
      </c>
      <c r="G543">
        <v>286.89392378284583</v>
      </c>
      <c r="H543">
        <v>298.6898536955552</v>
      </c>
      <c r="I543">
        <v>343.16586639253916</v>
      </c>
      <c r="J543">
        <v>351.88927857142426</v>
      </c>
      <c r="K543">
        <v>378.27442807127323</v>
      </c>
      <c r="L543">
        <v>455.33482803447015</v>
      </c>
    </row>
    <row r="544" spans="1:12" x14ac:dyDescent="0.25">
      <c r="A544">
        <v>243.90646995995843</v>
      </c>
      <c r="B544">
        <v>261.33929828190986</v>
      </c>
      <c r="C544">
        <v>232.38873047859397</v>
      </c>
      <c r="D544">
        <v>225.67360318014602</v>
      </c>
      <c r="E544">
        <v>280.12525487308687</v>
      </c>
      <c r="F544">
        <v>246.50700215214823</v>
      </c>
      <c r="G544">
        <v>241.54061120045412</v>
      </c>
      <c r="H544">
        <v>263.15014781112632</v>
      </c>
      <c r="I544">
        <v>286.01391915018695</v>
      </c>
      <c r="J544">
        <v>298.20072101564938</v>
      </c>
      <c r="K544">
        <v>322.76410308766134</v>
      </c>
      <c r="L544">
        <v>365.50914469273278</v>
      </c>
    </row>
    <row r="545" spans="1:12" x14ac:dyDescent="0.25">
      <c r="A545">
        <v>259.66054674233055</v>
      </c>
      <c r="B545">
        <v>245.43775691756576</v>
      </c>
      <c r="C545">
        <v>237.52693861429941</v>
      </c>
      <c r="D545">
        <v>247.48477064091418</v>
      </c>
      <c r="E545">
        <v>281.35990909823107</v>
      </c>
      <c r="F545">
        <v>241.10660072656637</v>
      </c>
      <c r="G545">
        <v>251.45669335259745</v>
      </c>
      <c r="H545">
        <v>268.54751979392529</v>
      </c>
      <c r="I545">
        <v>277.740733111179</v>
      </c>
      <c r="J545">
        <v>289.29047016173394</v>
      </c>
      <c r="K545">
        <v>300.22743113585381</v>
      </c>
      <c r="L545">
        <v>359.04666341094736</v>
      </c>
    </row>
    <row r="546" spans="1:12" x14ac:dyDescent="0.25">
      <c r="A546">
        <v>248.47118582427356</v>
      </c>
      <c r="B546">
        <v>260.25192469748492</v>
      </c>
      <c r="C546">
        <v>247.68771930056459</v>
      </c>
      <c r="D546">
        <v>241.28812074670148</v>
      </c>
      <c r="E546">
        <v>287.02265549029278</v>
      </c>
      <c r="F546">
        <v>267.08857320182705</v>
      </c>
      <c r="G546">
        <v>256.11075439264965</v>
      </c>
      <c r="H546">
        <v>262.88275500951397</v>
      </c>
      <c r="I546">
        <v>272.30653446459098</v>
      </c>
      <c r="J546">
        <v>302.48858264431493</v>
      </c>
      <c r="K546">
        <v>303.97979583877003</v>
      </c>
      <c r="L546">
        <v>357.20586583726543</v>
      </c>
    </row>
    <row r="547" spans="1:12" x14ac:dyDescent="0.25">
      <c r="A547">
        <v>246.64796489296506</v>
      </c>
      <c r="B547">
        <v>255.37176502176092</v>
      </c>
      <c r="C547">
        <v>235.10340516199986</v>
      </c>
      <c r="D547">
        <v>231.28026590061134</v>
      </c>
      <c r="E547">
        <v>285.36417638782314</v>
      </c>
      <c r="F547">
        <v>243.11354941091696</v>
      </c>
      <c r="G547">
        <v>251.07501859314081</v>
      </c>
      <c r="H547">
        <v>275.60442590959036</v>
      </c>
      <c r="I547">
        <v>304.81147300594193</v>
      </c>
      <c r="J547">
        <v>303.67502607640023</v>
      </c>
      <c r="K547">
        <v>330.74118647515695</v>
      </c>
      <c r="L547">
        <v>375.02698651958332</v>
      </c>
    </row>
    <row r="548" spans="1:12" x14ac:dyDescent="0.25">
      <c r="A548">
        <v>246.6082783228151</v>
      </c>
      <c r="B548">
        <v>264.8444373099818</v>
      </c>
      <c r="C548">
        <v>230.40022790714085</v>
      </c>
      <c r="D548">
        <v>252.25804263292716</v>
      </c>
      <c r="E548">
        <v>267.35834112029727</v>
      </c>
      <c r="F548">
        <v>240.5384984763877</v>
      </c>
      <c r="G548">
        <v>252.42785356878477</v>
      </c>
      <c r="H548">
        <v>251.09242880833875</v>
      </c>
      <c r="I548">
        <v>278.77533998059766</v>
      </c>
      <c r="J548">
        <v>267.76074508695524</v>
      </c>
      <c r="K548">
        <v>302.19319352718099</v>
      </c>
      <c r="L548">
        <v>348.09475264285857</v>
      </c>
    </row>
    <row r="549" spans="1:12" x14ac:dyDescent="0.25">
      <c r="A549">
        <v>248.46696531150056</v>
      </c>
      <c r="B549">
        <v>281.30863107184041</v>
      </c>
      <c r="C549">
        <v>247.92703418068186</v>
      </c>
      <c r="D549">
        <v>237.34926598477807</v>
      </c>
      <c r="E549">
        <v>262.73292000543626</v>
      </c>
      <c r="F549">
        <v>239.28659059690162</v>
      </c>
      <c r="G549">
        <v>262.48439965223292</v>
      </c>
      <c r="H549">
        <v>259.28705974185829</v>
      </c>
      <c r="I549">
        <v>285.33833075203273</v>
      </c>
      <c r="J549">
        <v>284.72625160459341</v>
      </c>
      <c r="K549">
        <v>301.31642292332236</v>
      </c>
      <c r="L549">
        <v>354.99101988041213</v>
      </c>
    </row>
    <row r="550" spans="1:12" x14ac:dyDescent="0.25">
      <c r="A550">
        <v>252.7515229821235</v>
      </c>
      <c r="B550">
        <v>294.31241679210194</v>
      </c>
      <c r="C550">
        <v>267.88700333686074</v>
      </c>
      <c r="D550">
        <v>262.8239652701036</v>
      </c>
      <c r="E550">
        <v>316.67460308156279</v>
      </c>
      <c r="F550">
        <v>284.35409812828641</v>
      </c>
      <c r="G550">
        <v>283.3961320499435</v>
      </c>
      <c r="H550">
        <v>310.59797719004621</v>
      </c>
      <c r="I550">
        <v>327.70656736658481</v>
      </c>
      <c r="J550">
        <v>369.98072142359035</v>
      </c>
      <c r="K550">
        <v>399.54838630156286</v>
      </c>
      <c r="L550">
        <v>460.34600473606162</v>
      </c>
    </row>
    <row r="551" spans="1:12" x14ac:dyDescent="0.25">
      <c r="A551">
        <v>242.06883655375196</v>
      </c>
      <c r="B551">
        <v>254.67099623072508</v>
      </c>
      <c r="C551">
        <v>233.2180912093815</v>
      </c>
      <c r="D551">
        <v>237.30737141375454</v>
      </c>
      <c r="E551">
        <v>286.99202449859723</v>
      </c>
      <c r="F551">
        <v>241.06964665961024</v>
      </c>
      <c r="G551">
        <v>239.91003969120081</v>
      </c>
      <c r="H551">
        <v>268.91965159065967</v>
      </c>
      <c r="I551">
        <v>290.19049754569164</v>
      </c>
      <c r="J551">
        <v>292.86033343006318</v>
      </c>
      <c r="K551">
        <v>319.99153963111371</v>
      </c>
      <c r="L551">
        <v>368.90723012992083</v>
      </c>
    </row>
    <row r="552" spans="1:12" x14ac:dyDescent="0.25">
      <c r="A552">
        <v>238.71547137847438</v>
      </c>
      <c r="B552">
        <v>260.21031891429857</v>
      </c>
      <c r="C552">
        <v>245.24506595464914</v>
      </c>
      <c r="D552">
        <v>243.47069721952369</v>
      </c>
      <c r="E552">
        <v>302.91247525240396</v>
      </c>
      <c r="F552">
        <v>258.3916305830619</v>
      </c>
      <c r="G552">
        <v>264.44725195452071</v>
      </c>
      <c r="H552">
        <v>272.39349663806064</v>
      </c>
      <c r="I552">
        <v>300.25956993878918</v>
      </c>
      <c r="J552">
        <v>304.8853032180395</v>
      </c>
      <c r="K552">
        <v>338.16196171376782</v>
      </c>
      <c r="L552">
        <v>394.10224891399201</v>
      </c>
    </row>
    <row r="553" spans="1:12" x14ac:dyDescent="0.25">
      <c r="A553">
        <v>233.40432526137215</v>
      </c>
      <c r="B553">
        <v>244.72152925926903</v>
      </c>
      <c r="C553">
        <v>240.03960885027098</v>
      </c>
      <c r="D553">
        <v>225.498748573174</v>
      </c>
      <c r="E553">
        <v>274.40056739267152</v>
      </c>
      <c r="F553">
        <v>260.35073564758818</v>
      </c>
      <c r="G553">
        <v>262.39556923804531</v>
      </c>
      <c r="H553">
        <v>271.12550180128369</v>
      </c>
      <c r="I553">
        <v>279.02097327708958</v>
      </c>
      <c r="J553">
        <v>286.2526645516075</v>
      </c>
      <c r="K553">
        <v>318.39078811518732</v>
      </c>
      <c r="L553">
        <v>366.09704976666126</v>
      </c>
    </row>
    <row r="554" spans="1:12" x14ac:dyDescent="0.25">
      <c r="A554">
        <v>252.3255059512781</v>
      </c>
      <c r="B554">
        <v>272.49026516061417</v>
      </c>
      <c r="C554">
        <v>236.38892038191682</v>
      </c>
      <c r="D554">
        <v>238.4595898270579</v>
      </c>
      <c r="E554">
        <v>292.46815879393654</v>
      </c>
      <c r="F554">
        <v>266.72627313484134</v>
      </c>
      <c r="G554">
        <v>257.45692646882475</v>
      </c>
      <c r="H554">
        <v>290.84546651336882</v>
      </c>
      <c r="I554">
        <v>284.8114560333928</v>
      </c>
      <c r="J554">
        <v>308.72564125661671</v>
      </c>
      <c r="K554">
        <v>310.67953301378668</v>
      </c>
      <c r="L554">
        <v>380.1624277362439</v>
      </c>
    </row>
    <row r="555" spans="1:12" x14ac:dyDescent="0.25">
      <c r="A555">
        <v>256.68870833719302</v>
      </c>
      <c r="B555">
        <v>286.62270277186741</v>
      </c>
      <c r="C555">
        <v>259.269571032589</v>
      </c>
      <c r="D555">
        <v>266.72512886610963</v>
      </c>
      <c r="E555">
        <v>296.03194208453078</v>
      </c>
      <c r="F555">
        <v>273.40351395153789</v>
      </c>
      <c r="G555">
        <v>272.134341158903</v>
      </c>
      <c r="H555">
        <v>288.00073911741646</v>
      </c>
      <c r="I555">
        <v>307.93068767302952</v>
      </c>
      <c r="J555">
        <v>315.92834098165821</v>
      </c>
      <c r="K555">
        <v>353.5335756347576</v>
      </c>
      <c r="L555">
        <v>391.61432042103746</v>
      </c>
    </row>
    <row r="556" spans="1:12" x14ac:dyDescent="0.25">
      <c r="A556">
        <v>248.93737951178414</v>
      </c>
      <c r="B556">
        <v>262.68932689771032</v>
      </c>
      <c r="C556">
        <v>251.05384892681866</v>
      </c>
      <c r="D556">
        <v>251.51394728001947</v>
      </c>
      <c r="E556">
        <v>298.1404726018348</v>
      </c>
      <c r="F556">
        <v>239.72749499045386</v>
      </c>
      <c r="G556">
        <v>270.36449588620451</v>
      </c>
      <c r="H556">
        <v>277.03297719595884</v>
      </c>
      <c r="I556">
        <v>302.59734879333024</v>
      </c>
      <c r="J556">
        <v>315.324203136412</v>
      </c>
      <c r="K556">
        <v>332.34132078834892</v>
      </c>
      <c r="L556">
        <v>354.67053555340021</v>
      </c>
    </row>
    <row r="557" spans="1:12" x14ac:dyDescent="0.25">
      <c r="A557">
        <v>242.36627827763581</v>
      </c>
      <c r="B557">
        <v>252.22543170730324</v>
      </c>
      <c r="C557">
        <v>226.72061909939799</v>
      </c>
      <c r="D557">
        <v>230.37632178636474</v>
      </c>
      <c r="E557">
        <v>268.26603414769738</v>
      </c>
      <c r="F557">
        <v>229.57686027721059</v>
      </c>
      <c r="G557">
        <v>236.77614255391077</v>
      </c>
      <c r="H557">
        <v>249.76970852740416</v>
      </c>
      <c r="I557">
        <v>262.29335732502153</v>
      </c>
      <c r="J557">
        <v>263.20088164141384</v>
      </c>
      <c r="K557">
        <v>294.66087114729805</v>
      </c>
      <c r="L557">
        <v>319.60301016194575</v>
      </c>
    </row>
    <row r="558" spans="1:12" x14ac:dyDescent="0.25">
      <c r="A558">
        <v>243.93314834489121</v>
      </c>
      <c r="B558">
        <v>269.25495891515067</v>
      </c>
      <c r="C558">
        <v>248.33451376478865</v>
      </c>
      <c r="D558">
        <v>252.93439697233092</v>
      </c>
      <c r="E558">
        <v>273.36890333496865</v>
      </c>
      <c r="F558">
        <v>247.31618605974077</v>
      </c>
      <c r="G558">
        <v>271.618750907334</v>
      </c>
      <c r="H558">
        <v>261.7629206818558</v>
      </c>
      <c r="I558">
        <v>281.01884276310443</v>
      </c>
      <c r="J558">
        <v>296.98776395475664</v>
      </c>
      <c r="K558">
        <v>335.69073139390883</v>
      </c>
      <c r="L558">
        <v>387.27390978301065</v>
      </c>
    </row>
    <row r="559" spans="1:12" x14ac:dyDescent="0.25">
      <c r="A559">
        <v>251.74338298534295</v>
      </c>
      <c r="B559">
        <v>266.53799828920995</v>
      </c>
      <c r="C559">
        <v>248.74822284444656</v>
      </c>
      <c r="D559">
        <v>240.47477268587261</v>
      </c>
      <c r="E559">
        <v>282.34419531557609</v>
      </c>
      <c r="F559">
        <v>262.47132428294668</v>
      </c>
      <c r="G559">
        <v>271.87181079750832</v>
      </c>
      <c r="H559">
        <v>271.55803741768165</v>
      </c>
      <c r="I559">
        <v>302.88618352357054</v>
      </c>
      <c r="J559">
        <v>331.81240405090307</v>
      </c>
      <c r="K559">
        <v>343.60267309777817</v>
      </c>
      <c r="L559">
        <v>402.04717159732752</v>
      </c>
    </row>
    <row r="560" spans="1:12" x14ac:dyDescent="0.25">
      <c r="A560">
        <v>249.22583879607367</v>
      </c>
      <c r="B560">
        <v>267.97845116740604</v>
      </c>
      <c r="C560">
        <v>229.88773489943335</v>
      </c>
      <c r="D560">
        <v>238.71712892852076</v>
      </c>
      <c r="E560">
        <v>260.61730409547306</v>
      </c>
      <c r="F560">
        <v>222.21685297427408</v>
      </c>
      <c r="G560">
        <v>235.11528823980711</v>
      </c>
      <c r="H560">
        <v>237.78729821857166</v>
      </c>
      <c r="I560">
        <v>252.40520565260152</v>
      </c>
      <c r="J560">
        <v>256.36425113296951</v>
      </c>
      <c r="K560">
        <v>280.90451899328343</v>
      </c>
      <c r="L560">
        <v>313.11554933445228</v>
      </c>
    </row>
    <row r="561" spans="1:12" x14ac:dyDescent="0.25">
      <c r="A561">
        <v>242.31436316401155</v>
      </c>
      <c r="B561">
        <v>252.1358243345037</v>
      </c>
      <c r="C561">
        <v>246.01017923105547</v>
      </c>
      <c r="D561">
        <v>244.30956209275425</v>
      </c>
      <c r="E561">
        <v>295.18559655579486</v>
      </c>
      <c r="F561">
        <v>270.59698694567356</v>
      </c>
      <c r="G561">
        <v>276.24088329772655</v>
      </c>
      <c r="H561">
        <v>283.96436184922385</v>
      </c>
      <c r="I561">
        <v>318.56101304098576</v>
      </c>
      <c r="J561">
        <v>328.54140126838774</v>
      </c>
      <c r="K561">
        <v>345.45484967760842</v>
      </c>
      <c r="L561">
        <v>417.31449253846421</v>
      </c>
    </row>
    <row r="562" spans="1:12" x14ac:dyDescent="0.25">
      <c r="A562">
        <v>249.20285993073185</v>
      </c>
      <c r="B562">
        <v>248.69933036558737</v>
      </c>
      <c r="C562">
        <v>237.63649665402639</v>
      </c>
      <c r="D562">
        <v>232.7118191348479</v>
      </c>
      <c r="E562">
        <v>260.35273885076299</v>
      </c>
      <c r="F562">
        <v>214.7657334137827</v>
      </c>
      <c r="G562">
        <v>231.18530745394011</v>
      </c>
      <c r="H562">
        <v>248.02376676639972</v>
      </c>
      <c r="I562">
        <v>271.41257258711875</v>
      </c>
      <c r="J562">
        <v>280.86057251546652</v>
      </c>
      <c r="K562">
        <v>294.3642243723308</v>
      </c>
      <c r="L562">
        <v>342.59737393691836</v>
      </c>
    </row>
    <row r="563" spans="1:12" x14ac:dyDescent="0.25">
      <c r="A563">
        <v>231.60802283543586</v>
      </c>
      <c r="B563">
        <v>253.67551600391477</v>
      </c>
      <c r="C563">
        <v>231.01637057604592</v>
      </c>
      <c r="D563">
        <v>239.9364207235183</v>
      </c>
      <c r="E563">
        <v>296.7728001968751</v>
      </c>
      <c r="F563">
        <v>258.03156976699773</v>
      </c>
      <c r="G563">
        <v>273.17434611016211</v>
      </c>
      <c r="H563">
        <v>291.21177235661349</v>
      </c>
      <c r="I563">
        <v>320.08613563326782</v>
      </c>
      <c r="J563">
        <v>347.49808093328636</v>
      </c>
      <c r="K563">
        <v>347.87151630211918</v>
      </c>
      <c r="L563">
        <v>410.52387293608871</v>
      </c>
    </row>
    <row r="564" spans="1:12" x14ac:dyDescent="0.25">
      <c r="A564">
        <v>247.32640667073633</v>
      </c>
      <c r="B564">
        <v>259.84596049167101</v>
      </c>
      <c r="C564">
        <v>236.41491192157838</v>
      </c>
      <c r="D564">
        <v>228.1757596792213</v>
      </c>
      <c r="E564">
        <v>292.11624820689946</v>
      </c>
      <c r="F564">
        <v>271.07373499083747</v>
      </c>
      <c r="G564">
        <v>277.16771409823667</v>
      </c>
      <c r="H564">
        <v>285.16324039337309</v>
      </c>
      <c r="I564">
        <v>291.07778095823153</v>
      </c>
      <c r="J564">
        <v>308.68097926225886</v>
      </c>
      <c r="K564">
        <v>315.81119257506595</v>
      </c>
      <c r="L564">
        <v>393.66289206875297</v>
      </c>
    </row>
    <row r="565" spans="1:12" x14ac:dyDescent="0.25">
      <c r="A565">
        <v>239.44894381655448</v>
      </c>
      <c r="B565">
        <v>253.66970347380408</v>
      </c>
      <c r="C565">
        <v>236.43850052682404</v>
      </c>
      <c r="D565">
        <v>255.91975190043848</v>
      </c>
      <c r="E565">
        <v>276.32565369850812</v>
      </c>
      <c r="F565">
        <v>251.65017046331113</v>
      </c>
      <c r="G565">
        <v>257.14537673459239</v>
      </c>
      <c r="H565">
        <v>265.34100171029428</v>
      </c>
      <c r="I565">
        <v>309.2269623355491</v>
      </c>
      <c r="J565">
        <v>301.32558037874878</v>
      </c>
      <c r="K565">
        <v>321.60338331409912</v>
      </c>
      <c r="L565">
        <v>383.79175706038262</v>
      </c>
    </row>
    <row r="566" spans="1:12" x14ac:dyDescent="0.25">
      <c r="A566">
        <v>220.90763626952048</v>
      </c>
      <c r="B566">
        <v>265.72321744265156</v>
      </c>
      <c r="C566">
        <v>235.18939983562194</v>
      </c>
      <c r="D566">
        <v>253.72363058685255</v>
      </c>
      <c r="E566">
        <v>280.88699792240351</v>
      </c>
      <c r="F566">
        <v>228.99072584266784</v>
      </c>
      <c r="G566">
        <v>242.92819879574154</v>
      </c>
      <c r="H566">
        <v>265.64216180083611</v>
      </c>
      <c r="I566">
        <v>283.42237632367238</v>
      </c>
      <c r="J566">
        <v>294.77448286713076</v>
      </c>
      <c r="K566">
        <v>303.22531536430461</v>
      </c>
      <c r="L566">
        <v>355.98051659717186</v>
      </c>
    </row>
    <row r="567" spans="1:12" x14ac:dyDescent="0.25">
      <c r="A567">
        <v>246.32147452559124</v>
      </c>
      <c r="B567">
        <v>247.06359734688678</v>
      </c>
      <c r="C567">
        <v>240.04411490963633</v>
      </c>
      <c r="D567">
        <v>230.29954398661386</v>
      </c>
      <c r="E567">
        <v>287.43723934130446</v>
      </c>
      <c r="F567">
        <v>241.94718074552594</v>
      </c>
      <c r="G567">
        <v>266.13156961783392</v>
      </c>
      <c r="H567">
        <v>258.14843404746722</v>
      </c>
      <c r="I567">
        <v>287.25616429987247</v>
      </c>
      <c r="J567">
        <v>281.09406529546288</v>
      </c>
      <c r="K567">
        <v>302.17023687616603</v>
      </c>
      <c r="L567">
        <v>345.20061042301523</v>
      </c>
    </row>
    <row r="568" spans="1:12" x14ac:dyDescent="0.25">
      <c r="A568">
        <v>225.46537806630101</v>
      </c>
      <c r="B568">
        <v>266.56855821117074</v>
      </c>
      <c r="C568">
        <v>239.57018971254942</v>
      </c>
      <c r="D568">
        <v>225.50719881072993</v>
      </c>
      <c r="E568">
        <v>275.24565509550598</v>
      </c>
      <c r="F568">
        <v>249.85192563917545</v>
      </c>
      <c r="G568">
        <v>259.2610249069603</v>
      </c>
      <c r="H568">
        <v>281.26105266763489</v>
      </c>
      <c r="I568">
        <v>267.0986463301777</v>
      </c>
      <c r="J568">
        <v>287.68276288157966</v>
      </c>
      <c r="K568">
        <v>306.88626196502605</v>
      </c>
      <c r="L568">
        <v>349.96678897183563</v>
      </c>
    </row>
    <row r="569" spans="1:12" x14ac:dyDescent="0.25">
      <c r="A569">
        <v>224.58465689133078</v>
      </c>
      <c r="B569">
        <v>243.31218242847515</v>
      </c>
      <c r="C569">
        <v>237.66034678851912</v>
      </c>
      <c r="D569">
        <v>227.34838948073011</v>
      </c>
      <c r="E569">
        <v>257.36975237366693</v>
      </c>
      <c r="F569">
        <v>239.99552931282565</v>
      </c>
      <c r="G569">
        <v>238.69831375856043</v>
      </c>
      <c r="H569">
        <v>238.36433118562297</v>
      </c>
      <c r="I569">
        <v>277.79390702670668</v>
      </c>
      <c r="J569">
        <v>299.82305043157976</v>
      </c>
      <c r="K569">
        <v>317.39161499916889</v>
      </c>
      <c r="L569">
        <v>372.39605106987779</v>
      </c>
    </row>
    <row r="570" spans="1:12" x14ac:dyDescent="0.25">
      <c r="A570">
        <v>255.47900397308328</v>
      </c>
      <c r="B570">
        <v>253.85660291003586</v>
      </c>
      <c r="C570">
        <v>255.25176659865355</v>
      </c>
      <c r="D570">
        <v>242.53109250595998</v>
      </c>
      <c r="E570">
        <v>295.20173168538048</v>
      </c>
      <c r="F570">
        <v>244.44149236904482</v>
      </c>
      <c r="G570">
        <v>252.10161073317386</v>
      </c>
      <c r="H570">
        <v>270.57257810536049</v>
      </c>
      <c r="I570">
        <v>287.78591694911256</v>
      </c>
      <c r="J570">
        <v>293.74426570620676</v>
      </c>
      <c r="K570">
        <v>303.7852581982097</v>
      </c>
      <c r="L570">
        <v>374.1641662139171</v>
      </c>
    </row>
    <row r="571" spans="1:12" x14ac:dyDescent="0.25">
      <c r="A571">
        <v>240.94635477552103</v>
      </c>
      <c r="B571">
        <v>257.6380364658545</v>
      </c>
      <c r="C571">
        <v>245.00739154828079</v>
      </c>
      <c r="D571">
        <v>245.53259433207839</v>
      </c>
      <c r="E571">
        <v>291.34265805883297</v>
      </c>
      <c r="F571">
        <v>255.35697433160561</v>
      </c>
      <c r="G571">
        <v>266.68501138143756</v>
      </c>
      <c r="H571">
        <v>270.34340923421007</v>
      </c>
      <c r="I571">
        <v>299.54508533689301</v>
      </c>
      <c r="J571">
        <v>317.74510067845989</v>
      </c>
      <c r="K571">
        <v>341.0752103728322</v>
      </c>
      <c r="L571">
        <v>395.69220358858286</v>
      </c>
    </row>
    <row r="572" spans="1:12" x14ac:dyDescent="0.25">
      <c r="A572">
        <v>248.21628072144705</v>
      </c>
      <c r="B572">
        <v>254.749591003099</v>
      </c>
      <c r="C572">
        <v>233.86864496923639</v>
      </c>
      <c r="D572">
        <v>233.97206146183288</v>
      </c>
      <c r="E572">
        <v>279.76632835841224</v>
      </c>
      <c r="F572">
        <v>247.69338266458061</v>
      </c>
      <c r="G572">
        <v>251.45408075826572</v>
      </c>
      <c r="H572">
        <v>261.68630140507264</v>
      </c>
      <c r="I572">
        <v>265.18502680441031</v>
      </c>
      <c r="J572">
        <v>285.97337279456241</v>
      </c>
      <c r="K572">
        <v>294.96722592657306</v>
      </c>
      <c r="L572">
        <v>348.39973999064176</v>
      </c>
    </row>
    <row r="573" spans="1:12" x14ac:dyDescent="0.25">
      <c r="A573">
        <v>234.81062392634468</v>
      </c>
      <c r="B573">
        <v>254.06357118876841</v>
      </c>
      <c r="C573">
        <v>248.17689177596907</v>
      </c>
      <c r="D573">
        <v>242.02305677518152</v>
      </c>
      <c r="E573">
        <v>279.05807357418109</v>
      </c>
      <c r="F573">
        <v>255.37310284966566</v>
      </c>
      <c r="G573">
        <v>249.49724824645992</v>
      </c>
      <c r="H573">
        <v>258.6322556586361</v>
      </c>
      <c r="I573">
        <v>292.51890986765011</v>
      </c>
      <c r="J573">
        <v>299.80870403767807</v>
      </c>
      <c r="K573">
        <v>313.517652036887</v>
      </c>
      <c r="L573">
        <v>344.56652101322589</v>
      </c>
    </row>
    <row r="574" spans="1:12" x14ac:dyDescent="0.25">
      <c r="A574">
        <v>238.68141188593017</v>
      </c>
      <c r="B574">
        <v>268.3020265445009</v>
      </c>
      <c r="C574">
        <v>250.07270864314651</v>
      </c>
      <c r="D574">
        <v>230.51220797983419</v>
      </c>
      <c r="E574">
        <v>290.74463010622202</v>
      </c>
      <c r="F574">
        <v>242.90137708173631</v>
      </c>
      <c r="G574">
        <v>257.35773068667805</v>
      </c>
      <c r="H574">
        <v>268.94516379193044</v>
      </c>
      <c r="I574">
        <v>296.20537407172066</v>
      </c>
      <c r="J574">
        <v>302.53546186497624</v>
      </c>
      <c r="K574">
        <v>325.47950580254525</v>
      </c>
      <c r="L574">
        <v>382.86697418398461</v>
      </c>
    </row>
    <row r="575" spans="1:12" x14ac:dyDescent="0.25">
      <c r="A575">
        <v>252.65734168688672</v>
      </c>
      <c r="B575">
        <v>279.78487295916659</v>
      </c>
      <c r="C575">
        <v>249.44277763347347</v>
      </c>
      <c r="D575">
        <v>243.41406756231109</v>
      </c>
      <c r="E575">
        <v>275.53411361937043</v>
      </c>
      <c r="F575">
        <v>249.87202742460815</v>
      </c>
      <c r="G575">
        <v>259.08322176110369</v>
      </c>
      <c r="H575">
        <v>269.91820353290115</v>
      </c>
      <c r="I575">
        <v>283.60731734511404</v>
      </c>
      <c r="J575">
        <v>297.34668118585455</v>
      </c>
      <c r="K575">
        <v>299.67748874386285</v>
      </c>
      <c r="L575">
        <v>363.37751032864657</v>
      </c>
    </row>
    <row r="576" spans="1:12" x14ac:dyDescent="0.25">
      <c r="A576">
        <v>243.72184270553805</v>
      </c>
      <c r="B576">
        <v>271.37118131668586</v>
      </c>
      <c r="C576">
        <v>240.39809468614692</v>
      </c>
      <c r="D576">
        <v>218.07902633930678</v>
      </c>
      <c r="E576">
        <v>270.35998550208717</v>
      </c>
      <c r="F576">
        <v>246.80595412513733</v>
      </c>
      <c r="G576">
        <v>253.3127530151344</v>
      </c>
      <c r="H576">
        <v>262.13435098384571</v>
      </c>
      <c r="I576">
        <v>263.265951409411</v>
      </c>
      <c r="J576">
        <v>286.70656859393404</v>
      </c>
      <c r="K576">
        <v>303.33361581507762</v>
      </c>
      <c r="L576">
        <v>349.01473326484091</v>
      </c>
    </row>
    <row r="577" spans="1:12" x14ac:dyDescent="0.25">
      <c r="A577">
        <v>237.204576823422</v>
      </c>
      <c r="B577">
        <v>268.1828206614407</v>
      </c>
      <c r="C577">
        <v>244.35852956880555</v>
      </c>
      <c r="D577">
        <v>238.04969790944187</v>
      </c>
      <c r="E577">
        <v>301.98406814899744</v>
      </c>
      <c r="F577">
        <v>239.1965339256881</v>
      </c>
      <c r="G577">
        <v>251.15490848601397</v>
      </c>
      <c r="H577">
        <v>280.10554167701702</v>
      </c>
      <c r="I577">
        <v>295.05057656006238</v>
      </c>
      <c r="J577">
        <v>306.2856337676447</v>
      </c>
      <c r="K577">
        <v>325.09001785431565</v>
      </c>
      <c r="L577">
        <v>386.76850974112733</v>
      </c>
    </row>
    <row r="578" spans="1:12" x14ac:dyDescent="0.25">
      <c r="A578">
        <v>242.72963932102473</v>
      </c>
      <c r="B578">
        <v>270.60521534853603</v>
      </c>
      <c r="C578">
        <v>247.198352716763</v>
      </c>
      <c r="D578">
        <v>221.31387725512101</v>
      </c>
      <c r="E578">
        <v>275.84880913231319</v>
      </c>
      <c r="F578">
        <v>235.95199607308757</v>
      </c>
      <c r="G578">
        <v>233.66436777461945</v>
      </c>
      <c r="H578">
        <v>245.02863877316241</v>
      </c>
      <c r="I578">
        <v>259.34770942866271</v>
      </c>
      <c r="J578">
        <v>265.81464160365812</v>
      </c>
      <c r="K578">
        <v>280.35574659984331</v>
      </c>
      <c r="L578">
        <v>322.0070514995985</v>
      </c>
    </row>
    <row r="579" spans="1:12" x14ac:dyDescent="0.25">
      <c r="A579">
        <v>245.93384852941199</v>
      </c>
      <c r="B579">
        <v>267.26439329002153</v>
      </c>
      <c r="C579">
        <v>237.04849917024632</v>
      </c>
      <c r="D579">
        <v>239.6969096927422</v>
      </c>
      <c r="E579">
        <v>294.88782308923146</v>
      </c>
      <c r="F579">
        <v>249.38767587553264</v>
      </c>
      <c r="G579">
        <v>252.96507136062499</v>
      </c>
      <c r="H579">
        <v>247.65831133060365</v>
      </c>
      <c r="I579">
        <v>273.4768178995871</v>
      </c>
      <c r="J579">
        <v>285.42931666388824</v>
      </c>
      <c r="K579">
        <v>292.29441469333085</v>
      </c>
      <c r="L579">
        <v>338.81123272201648</v>
      </c>
    </row>
    <row r="580" spans="1:12" x14ac:dyDescent="0.25">
      <c r="A580">
        <v>242.97217639764287</v>
      </c>
      <c r="B580">
        <v>272.63660014811245</v>
      </c>
      <c r="C580">
        <v>238.16612134299271</v>
      </c>
      <c r="D580">
        <v>229.97647854295823</v>
      </c>
      <c r="E580">
        <v>267.49550376974366</v>
      </c>
      <c r="F580">
        <v>241.87490714810983</v>
      </c>
      <c r="G580">
        <v>239.81595931969647</v>
      </c>
      <c r="H580">
        <v>248.544863933817</v>
      </c>
      <c r="I580">
        <v>266.74310600930232</v>
      </c>
      <c r="J580">
        <v>275.60059416101262</v>
      </c>
      <c r="K580">
        <v>289.3682725595433</v>
      </c>
      <c r="L580">
        <v>329.33877092166227</v>
      </c>
    </row>
    <row r="581" spans="1:12" x14ac:dyDescent="0.25">
      <c r="A581">
        <v>240.75858617566837</v>
      </c>
      <c r="B581">
        <v>253.12753548414832</v>
      </c>
      <c r="C581">
        <v>230.51612645874076</v>
      </c>
      <c r="D581">
        <v>222.37082441343176</v>
      </c>
      <c r="E581">
        <v>254.94663598850215</v>
      </c>
      <c r="F581">
        <v>235.21175883311344</v>
      </c>
      <c r="G581">
        <v>248.02261874917693</v>
      </c>
      <c r="H581">
        <v>240.78603807726515</v>
      </c>
      <c r="I581">
        <v>258.15373263771795</v>
      </c>
      <c r="J581">
        <v>271.54777511378319</v>
      </c>
      <c r="K581">
        <v>279.12484374716155</v>
      </c>
      <c r="L581">
        <v>315.5238189847268</v>
      </c>
    </row>
    <row r="582" spans="1:12" x14ac:dyDescent="0.25">
      <c r="A582">
        <v>248.03209655046913</v>
      </c>
      <c r="B582">
        <v>262.03192744715335</v>
      </c>
      <c r="C582">
        <v>261.30309877435212</v>
      </c>
      <c r="D582">
        <v>251.16401905692771</v>
      </c>
      <c r="E582">
        <v>294.25455781449347</v>
      </c>
      <c r="F582">
        <v>252.40668138678168</v>
      </c>
      <c r="G582">
        <v>276.18887782478089</v>
      </c>
      <c r="H582">
        <v>267.67030268915107</v>
      </c>
      <c r="I582">
        <v>303.39054699165632</v>
      </c>
      <c r="J582">
        <v>317.078032402595</v>
      </c>
      <c r="K582">
        <v>351.26707361738056</v>
      </c>
      <c r="L582">
        <v>404.39110534645749</v>
      </c>
    </row>
    <row r="583" spans="1:12" x14ac:dyDescent="0.25">
      <c r="A583">
        <v>245.84390009734054</v>
      </c>
      <c r="B583">
        <v>265.60925230785546</v>
      </c>
      <c r="C583">
        <v>261.54278975213504</v>
      </c>
      <c r="D583">
        <v>242.60772681156445</v>
      </c>
      <c r="E583">
        <v>290.81019775344294</v>
      </c>
      <c r="F583">
        <v>222.36661645558019</v>
      </c>
      <c r="G583">
        <v>250.94730844748017</v>
      </c>
      <c r="H583">
        <v>264.5040424956639</v>
      </c>
      <c r="I583">
        <v>265.22592062386587</v>
      </c>
      <c r="J583">
        <v>277.50227138531295</v>
      </c>
      <c r="K583">
        <v>301.54805333551769</v>
      </c>
      <c r="L583">
        <v>347.69053978262315</v>
      </c>
    </row>
    <row r="584" spans="1:12" x14ac:dyDescent="0.25">
      <c r="A584">
        <v>243.6912718548711</v>
      </c>
      <c r="B584">
        <v>257.66847080988833</v>
      </c>
      <c r="C584">
        <v>241.21859933283562</v>
      </c>
      <c r="D584">
        <v>229.1164295491391</v>
      </c>
      <c r="E584">
        <v>267.27009943544675</v>
      </c>
      <c r="F584">
        <v>234.89956777461092</v>
      </c>
      <c r="G584">
        <v>246.25634166061766</v>
      </c>
      <c r="H584">
        <v>258.0593004905852</v>
      </c>
      <c r="I584">
        <v>282.35489787062664</v>
      </c>
      <c r="J584">
        <v>279.04347692910341</v>
      </c>
      <c r="K584">
        <v>292.40838879904481</v>
      </c>
      <c r="L584">
        <v>360.01556773594257</v>
      </c>
    </row>
    <row r="585" spans="1:12" x14ac:dyDescent="0.25">
      <c r="A585">
        <v>241.11328972342088</v>
      </c>
      <c r="B585">
        <v>257.89208528053621</v>
      </c>
      <c r="C585">
        <v>247.76755399682838</v>
      </c>
      <c r="D585">
        <v>240.68039214999351</v>
      </c>
      <c r="E585">
        <v>284.28299148015287</v>
      </c>
      <c r="F585">
        <v>241.02315434278529</v>
      </c>
      <c r="G585">
        <v>272.0048624626516</v>
      </c>
      <c r="H585">
        <v>274.41023215926049</v>
      </c>
      <c r="I585">
        <v>310.16028742447281</v>
      </c>
      <c r="J585">
        <v>310.35997638536412</v>
      </c>
      <c r="K585">
        <v>327.3266173430145</v>
      </c>
      <c r="L585">
        <v>396.71262850818954</v>
      </c>
    </row>
    <row r="586" spans="1:12" x14ac:dyDescent="0.25">
      <c r="A586">
        <v>252.04810763929211</v>
      </c>
      <c r="B586">
        <v>264.7632616989215</v>
      </c>
      <c r="C586">
        <v>248.10742161024362</v>
      </c>
      <c r="D586">
        <v>231.55488643088697</v>
      </c>
      <c r="E586">
        <v>292.61847577736688</v>
      </c>
      <c r="F586">
        <v>242.70790652273811</v>
      </c>
      <c r="G586">
        <v>244.98315569025593</v>
      </c>
      <c r="H586">
        <v>262.01850632290814</v>
      </c>
      <c r="I586">
        <v>289.19472089962909</v>
      </c>
      <c r="J586">
        <v>293.61202259219328</v>
      </c>
      <c r="K586">
        <v>306.06207992834607</v>
      </c>
      <c r="L586">
        <v>357.13642780017864</v>
      </c>
    </row>
    <row r="587" spans="1:12" x14ac:dyDescent="0.25">
      <c r="A587">
        <v>253.67516994796642</v>
      </c>
      <c r="B587">
        <v>279.60323964550543</v>
      </c>
      <c r="C587">
        <v>249.40262489363465</v>
      </c>
      <c r="D587">
        <v>239.38946342798351</v>
      </c>
      <c r="E587">
        <v>284.4690852390093</v>
      </c>
      <c r="F587">
        <v>254.6908687209764</v>
      </c>
      <c r="G587">
        <v>250.76369451594536</v>
      </c>
      <c r="H587">
        <v>255.52686934993076</v>
      </c>
      <c r="I587">
        <v>282.79755028866805</v>
      </c>
      <c r="J587">
        <v>289.68546132072169</v>
      </c>
      <c r="K587">
        <v>302.73185400928355</v>
      </c>
      <c r="L587">
        <v>352.82467849885091</v>
      </c>
    </row>
    <row r="588" spans="1:12" x14ac:dyDescent="0.25">
      <c r="A588">
        <v>249.71872560700288</v>
      </c>
      <c r="B588">
        <v>266.19006247553818</v>
      </c>
      <c r="C588">
        <v>240.73847495462857</v>
      </c>
      <c r="D588">
        <v>242.14579849114381</v>
      </c>
      <c r="E588">
        <v>273.76809455169064</v>
      </c>
      <c r="F588">
        <v>251.08556475434688</v>
      </c>
      <c r="G588">
        <v>270.58760240498634</v>
      </c>
      <c r="H588">
        <v>279.54517922622114</v>
      </c>
      <c r="I588">
        <v>287.05775108904288</v>
      </c>
      <c r="J588">
        <v>300.13925116632026</v>
      </c>
      <c r="K588">
        <v>333.55130579100728</v>
      </c>
      <c r="L588">
        <v>379.84207930954796</v>
      </c>
    </row>
    <row r="589" spans="1:12" x14ac:dyDescent="0.25">
      <c r="A589">
        <v>256.68050584453221</v>
      </c>
      <c r="B589">
        <v>265.00338544297068</v>
      </c>
      <c r="C589">
        <v>224.0263510231182</v>
      </c>
      <c r="D589">
        <v>230.7121830046444</v>
      </c>
      <c r="E589">
        <v>275.30019045716102</v>
      </c>
      <c r="F589">
        <v>244.74578462257102</v>
      </c>
      <c r="G589">
        <v>243.18531493823659</v>
      </c>
      <c r="H589">
        <v>262.43643817974146</v>
      </c>
      <c r="I589">
        <v>280.59056609669483</v>
      </c>
      <c r="J589">
        <v>270.98878131290672</v>
      </c>
      <c r="K589">
        <v>298.50558525143504</v>
      </c>
      <c r="L589">
        <v>337.81850373581295</v>
      </c>
    </row>
    <row r="590" spans="1:12" x14ac:dyDescent="0.25">
      <c r="A590">
        <v>232.8461806533827</v>
      </c>
      <c r="B590">
        <v>260.82847683587431</v>
      </c>
      <c r="C590">
        <v>239.93856985762042</v>
      </c>
      <c r="D590">
        <v>223.33543796485861</v>
      </c>
      <c r="E590">
        <v>286.71762805907593</v>
      </c>
      <c r="F590">
        <v>260.66846919214134</v>
      </c>
      <c r="G590">
        <v>253.12143211204938</v>
      </c>
      <c r="H590">
        <v>278.77080422980032</v>
      </c>
      <c r="I590">
        <v>294.62558356351769</v>
      </c>
      <c r="J590">
        <v>294.49549768017368</v>
      </c>
      <c r="K590">
        <v>332.79478302553872</v>
      </c>
      <c r="L590">
        <v>382.23485683082095</v>
      </c>
    </row>
    <row r="591" spans="1:12" x14ac:dyDescent="0.25">
      <c r="A591">
        <v>256.66313629370455</v>
      </c>
      <c r="B591">
        <v>265.31422133324298</v>
      </c>
      <c r="C591">
        <v>246.13051838755624</v>
      </c>
      <c r="D591">
        <v>256.8227650413682</v>
      </c>
      <c r="E591">
        <v>289.57212040210987</v>
      </c>
      <c r="F591">
        <v>267.39080968262442</v>
      </c>
      <c r="G591">
        <v>286.56343821790261</v>
      </c>
      <c r="H591">
        <v>283.25202436972864</v>
      </c>
      <c r="I591">
        <v>311.37432069934357</v>
      </c>
      <c r="J591">
        <v>320.46314176055643</v>
      </c>
      <c r="K591">
        <v>350.09412076339441</v>
      </c>
      <c r="L591">
        <v>401.70832372794558</v>
      </c>
    </row>
    <row r="592" spans="1:12" x14ac:dyDescent="0.25">
      <c r="A592">
        <v>243.09776354328909</v>
      </c>
      <c r="B592">
        <v>277.8623759894848</v>
      </c>
      <c r="C592">
        <v>250.80549895047875</v>
      </c>
      <c r="D592">
        <v>225.93699633674018</v>
      </c>
      <c r="E592">
        <v>279.28013351129567</v>
      </c>
      <c r="F592">
        <v>243.17298236127016</v>
      </c>
      <c r="G592">
        <v>261.28990530749803</v>
      </c>
      <c r="H592">
        <v>274.19978845686802</v>
      </c>
      <c r="I592">
        <v>289.59012902680104</v>
      </c>
      <c r="J592">
        <v>296.63605222776698</v>
      </c>
      <c r="K592">
        <v>308.0658548909239</v>
      </c>
      <c r="L592">
        <v>384.83018944395064</v>
      </c>
    </row>
    <row r="593" spans="1:12" x14ac:dyDescent="0.25">
      <c r="A593">
        <v>240.01309948947443</v>
      </c>
      <c r="B593">
        <v>248.46874907933139</v>
      </c>
      <c r="C593">
        <v>215.28867946937203</v>
      </c>
      <c r="D593">
        <v>222.03303035658982</v>
      </c>
      <c r="E593">
        <v>243.22963360515845</v>
      </c>
      <c r="F593">
        <v>233.78139202849644</v>
      </c>
      <c r="G593">
        <v>228.73637754810207</v>
      </c>
      <c r="H593">
        <v>227.71697797059528</v>
      </c>
      <c r="I593">
        <v>241.51043908240584</v>
      </c>
      <c r="J593">
        <v>248.55083358255919</v>
      </c>
      <c r="K593">
        <v>239.32134577339181</v>
      </c>
      <c r="L593">
        <v>297.51467646474492</v>
      </c>
    </row>
    <row r="594" spans="1:12" x14ac:dyDescent="0.25">
      <c r="A594">
        <v>228.10330720574564</v>
      </c>
      <c r="B594">
        <v>255.74414372330523</v>
      </c>
      <c r="C594">
        <v>237.35400111741424</v>
      </c>
      <c r="D594">
        <v>232.58058790815539</v>
      </c>
      <c r="E594">
        <v>284.86639564359211</v>
      </c>
      <c r="F594">
        <v>253.23528822574005</v>
      </c>
      <c r="G594">
        <v>243.93346925603305</v>
      </c>
      <c r="H594">
        <v>258.3866235885173</v>
      </c>
      <c r="I594">
        <v>275.12250392318992</v>
      </c>
      <c r="J594">
        <v>273.46991907161271</v>
      </c>
      <c r="K594">
        <v>303.84755960441953</v>
      </c>
      <c r="L594">
        <v>344.43767918689571</v>
      </c>
    </row>
    <row r="595" spans="1:12" x14ac:dyDescent="0.25">
      <c r="A595">
        <v>239.76416244488394</v>
      </c>
      <c r="B595">
        <v>284.27285166519891</v>
      </c>
      <c r="C595">
        <v>248.42935792205498</v>
      </c>
      <c r="D595">
        <v>247.3121928313416</v>
      </c>
      <c r="E595">
        <v>286.51299932794939</v>
      </c>
      <c r="F595">
        <v>252.7179794089275</v>
      </c>
      <c r="G595">
        <v>254.8609931361261</v>
      </c>
      <c r="H595">
        <v>265.94052336180266</v>
      </c>
      <c r="I595">
        <v>296.11687166605668</v>
      </c>
      <c r="J595">
        <v>300.23293738569004</v>
      </c>
      <c r="K595">
        <v>321.88693567501542</v>
      </c>
      <c r="L595">
        <v>379.80125458537452</v>
      </c>
    </row>
    <row r="596" spans="1:12" x14ac:dyDescent="0.25">
      <c r="A596">
        <v>243.17885475334651</v>
      </c>
      <c r="B596">
        <v>244.91117834214424</v>
      </c>
      <c r="C596">
        <v>245.08603406216895</v>
      </c>
      <c r="D596">
        <v>259.20619678668686</v>
      </c>
      <c r="E596">
        <v>274.41716035317762</v>
      </c>
      <c r="F596">
        <v>258.62871109393512</v>
      </c>
      <c r="G596">
        <v>272.30853499745439</v>
      </c>
      <c r="H596">
        <v>279.45232210444686</v>
      </c>
      <c r="I596">
        <v>298.16150777914851</v>
      </c>
      <c r="J596">
        <v>321.95735593395091</v>
      </c>
      <c r="K596">
        <v>326.71541246991063</v>
      </c>
      <c r="L596">
        <v>384.341665167754</v>
      </c>
    </row>
    <row r="597" spans="1:12" x14ac:dyDescent="0.25">
      <c r="A597">
        <v>232.91800594883372</v>
      </c>
      <c r="B597">
        <v>275.76808726528617</v>
      </c>
      <c r="C597">
        <v>248.12504180753032</v>
      </c>
      <c r="D597">
        <v>250.78934123147337</v>
      </c>
      <c r="E597">
        <v>295.88615601402688</v>
      </c>
      <c r="F597">
        <v>256.76079082352504</v>
      </c>
      <c r="G597">
        <v>272.6202345627608</v>
      </c>
      <c r="H597">
        <v>277.73318738524273</v>
      </c>
      <c r="I597">
        <v>298.29415942229292</v>
      </c>
      <c r="J597">
        <v>322.90851576614762</v>
      </c>
      <c r="K597">
        <v>337.45899049994478</v>
      </c>
      <c r="L597">
        <v>381.31222787455744</v>
      </c>
    </row>
    <row r="598" spans="1:12" x14ac:dyDescent="0.25">
      <c r="A598">
        <v>249.65255560579538</v>
      </c>
      <c r="B598">
        <v>280.70293375871705</v>
      </c>
      <c r="C598">
        <v>255.04174184125611</v>
      </c>
      <c r="D598">
        <v>251.76154880577585</v>
      </c>
      <c r="E598">
        <v>283.57164654561592</v>
      </c>
      <c r="F598">
        <v>257.1221489875561</v>
      </c>
      <c r="G598">
        <v>269.27389557524998</v>
      </c>
      <c r="H598">
        <v>284.41706200873284</v>
      </c>
      <c r="I598">
        <v>291.7252101935909</v>
      </c>
      <c r="J598">
        <v>316.26722285397506</v>
      </c>
      <c r="K598">
        <v>333.2863265419839</v>
      </c>
      <c r="L598">
        <v>380.74740544402579</v>
      </c>
    </row>
    <row r="599" spans="1:12" x14ac:dyDescent="0.25">
      <c r="A599">
        <v>235.74210694588896</v>
      </c>
      <c r="B599">
        <v>272.35658331951117</v>
      </c>
      <c r="C599">
        <v>228.64584278729779</v>
      </c>
      <c r="D599">
        <v>212.81294393689723</v>
      </c>
      <c r="E599">
        <v>279.44184131933355</v>
      </c>
      <c r="F599">
        <v>245.40884438144303</v>
      </c>
      <c r="G599">
        <v>260.56824223801692</v>
      </c>
      <c r="H599">
        <v>264.11632174973334</v>
      </c>
      <c r="I599">
        <v>275.55318121316009</v>
      </c>
      <c r="J599">
        <v>285.48947744980143</v>
      </c>
      <c r="K599">
        <v>292.9088310190856</v>
      </c>
      <c r="L599">
        <v>349.09356768457394</v>
      </c>
    </row>
    <row r="600" spans="1:12" x14ac:dyDescent="0.25">
      <c r="A600">
        <v>254.74946827922219</v>
      </c>
      <c r="B600">
        <v>250.94377802268872</v>
      </c>
      <c r="C600">
        <v>245.03554082566316</v>
      </c>
      <c r="D600">
        <v>246.37492540427255</v>
      </c>
      <c r="E600">
        <v>286.17873416015163</v>
      </c>
      <c r="F600">
        <v>244.38013907810324</v>
      </c>
      <c r="G600">
        <v>238.10777946943449</v>
      </c>
      <c r="H600">
        <v>250.9411249045589</v>
      </c>
      <c r="I600">
        <v>271.39481997860446</v>
      </c>
      <c r="J600">
        <v>291.18600997991888</v>
      </c>
      <c r="K600">
        <v>287.37708770548943</v>
      </c>
      <c r="L600">
        <v>351.80548393596166</v>
      </c>
    </row>
    <row r="601" spans="1:12" x14ac:dyDescent="0.25">
      <c r="A601">
        <v>242.1340998796729</v>
      </c>
      <c r="B601">
        <v>256.87122056198166</v>
      </c>
      <c r="C601">
        <v>239.34807147732312</v>
      </c>
      <c r="D601">
        <v>255.40075836014171</v>
      </c>
      <c r="E601">
        <v>289.42012474501564</v>
      </c>
      <c r="F601">
        <v>278.39735187084131</v>
      </c>
      <c r="G601">
        <v>276.62989601630602</v>
      </c>
      <c r="H601">
        <v>277.49666004452769</v>
      </c>
      <c r="I601">
        <v>312.98551598910029</v>
      </c>
      <c r="J601">
        <v>339.21190080480329</v>
      </c>
      <c r="K601">
        <v>360.14496064399691</v>
      </c>
      <c r="L601">
        <v>428.13443184454707</v>
      </c>
    </row>
    <row r="602" spans="1:12" x14ac:dyDescent="0.25">
      <c r="A602">
        <v>264.94564690746199</v>
      </c>
      <c r="B602">
        <v>283.42145620572421</v>
      </c>
      <c r="C602">
        <v>255.5005141767092</v>
      </c>
      <c r="D602">
        <v>256.32358906608908</v>
      </c>
      <c r="E602">
        <v>299.51256136947012</v>
      </c>
      <c r="F602">
        <v>260.6784906378619</v>
      </c>
      <c r="G602">
        <v>295.88758043715075</v>
      </c>
      <c r="H602">
        <v>278.70880690878352</v>
      </c>
      <c r="I602">
        <v>321.97742305550588</v>
      </c>
      <c r="J602">
        <v>339.62598359680129</v>
      </c>
      <c r="K602">
        <v>347.49794659872504</v>
      </c>
      <c r="L602">
        <v>416.55004642632764</v>
      </c>
    </row>
    <row r="603" spans="1:12" x14ac:dyDescent="0.25">
      <c r="A603">
        <v>258.22095196968178</v>
      </c>
      <c r="B603">
        <v>267.72151165390665</v>
      </c>
      <c r="C603">
        <v>263.9473950157149</v>
      </c>
      <c r="D603">
        <v>261.84830625534988</v>
      </c>
      <c r="E603">
        <v>294.64926127375895</v>
      </c>
      <c r="F603">
        <v>261.11152072716573</v>
      </c>
      <c r="G603">
        <v>275.06380878340906</v>
      </c>
      <c r="H603">
        <v>283.95877110624934</v>
      </c>
      <c r="I603">
        <v>312.41753645209508</v>
      </c>
      <c r="J603">
        <v>327.89721146047822</v>
      </c>
      <c r="K603">
        <v>333.12139149460813</v>
      </c>
      <c r="L603">
        <v>381.91461911976114</v>
      </c>
    </row>
    <row r="604" spans="1:12" x14ac:dyDescent="0.25">
      <c r="A604">
        <v>238.72182646148138</v>
      </c>
      <c r="B604">
        <v>263.29573131298059</v>
      </c>
      <c r="C604">
        <v>235.28156480767927</v>
      </c>
      <c r="D604">
        <v>219.66078606947744</v>
      </c>
      <c r="E604">
        <v>247.99307356053524</v>
      </c>
      <c r="F604">
        <v>240.17622550750329</v>
      </c>
      <c r="G604">
        <v>232.82336007810204</v>
      </c>
      <c r="H604">
        <v>230.97410723500215</v>
      </c>
      <c r="I604">
        <v>238.80968815441889</v>
      </c>
      <c r="J604">
        <v>264.7431744869549</v>
      </c>
      <c r="K604">
        <v>268.26197311288354</v>
      </c>
      <c r="L604">
        <v>310.58756537824644</v>
      </c>
    </row>
    <row r="605" spans="1:12" x14ac:dyDescent="0.25">
      <c r="A605">
        <v>258.29820582378903</v>
      </c>
      <c r="B605">
        <v>266.50304987960095</v>
      </c>
      <c r="C605">
        <v>238.36611173984144</v>
      </c>
      <c r="D605">
        <v>252.92068535620695</v>
      </c>
      <c r="E605">
        <v>289.8925273918191</v>
      </c>
      <c r="F605">
        <v>241.13537767633781</v>
      </c>
      <c r="G605">
        <v>253.47290937841532</v>
      </c>
      <c r="H605">
        <v>250.84372109742455</v>
      </c>
      <c r="I605">
        <v>276.8958931163275</v>
      </c>
      <c r="J605">
        <v>278.76176477085244</v>
      </c>
      <c r="K605">
        <v>277.40956740096141</v>
      </c>
      <c r="L605">
        <v>342.59447542497571</v>
      </c>
    </row>
    <row r="606" spans="1:12" x14ac:dyDescent="0.25">
      <c r="A606">
        <v>224.45579940893407</v>
      </c>
      <c r="B606">
        <v>266.87286122046072</v>
      </c>
      <c r="C606">
        <v>227.12172826839799</v>
      </c>
      <c r="D606">
        <v>239.98382757542302</v>
      </c>
      <c r="E606">
        <v>260.91871950035187</v>
      </c>
      <c r="F606">
        <v>244.43912439322247</v>
      </c>
      <c r="G606">
        <v>245.74145839283608</v>
      </c>
      <c r="H606">
        <v>258.30036058005948</v>
      </c>
      <c r="I606">
        <v>278.00546459000202</v>
      </c>
      <c r="J606">
        <v>287.48939244422053</v>
      </c>
      <c r="K606">
        <v>292.26915222165275</v>
      </c>
      <c r="L606">
        <v>347.26731652765505</v>
      </c>
    </row>
    <row r="607" spans="1:12" x14ac:dyDescent="0.25">
      <c r="A607">
        <v>250.69843464728365</v>
      </c>
      <c r="B607">
        <v>248.93217407090691</v>
      </c>
      <c r="C607">
        <v>209.09987478728667</v>
      </c>
      <c r="D607">
        <v>212.278706045288</v>
      </c>
      <c r="E607">
        <v>255.73222621170481</v>
      </c>
      <c r="F607">
        <v>213.52073262816756</v>
      </c>
      <c r="G607">
        <v>221.99111609758916</v>
      </c>
      <c r="H607">
        <v>248.86801404817228</v>
      </c>
      <c r="I607">
        <v>263.58986359416622</v>
      </c>
      <c r="J607">
        <v>265.35518368545343</v>
      </c>
      <c r="K607">
        <v>280.42163443542989</v>
      </c>
      <c r="L607">
        <v>333.51571162881817</v>
      </c>
    </row>
    <row r="608" spans="1:12" x14ac:dyDescent="0.25">
      <c r="A608">
        <v>234.44464040511974</v>
      </c>
      <c r="B608">
        <v>256.24509865907345</v>
      </c>
      <c r="C608">
        <v>240.74364806420155</v>
      </c>
      <c r="D608">
        <v>221.85844079893505</v>
      </c>
      <c r="E608">
        <v>270.61237280052677</v>
      </c>
      <c r="F608">
        <v>230.41189222833179</v>
      </c>
      <c r="G608">
        <v>251.35057941400993</v>
      </c>
      <c r="H608">
        <v>244.64010535754241</v>
      </c>
      <c r="I608">
        <v>272.52675161842086</v>
      </c>
      <c r="J608">
        <v>275.50183210459085</v>
      </c>
      <c r="K608">
        <v>283.42588188555101</v>
      </c>
      <c r="L608">
        <v>339.37521821713057</v>
      </c>
    </row>
    <row r="609" spans="1:12" x14ac:dyDescent="0.25">
      <c r="A609">
        <v>255.49971698640283</v>
      </c>
      <c r="B609">
        <v>266.31351513616482</v>
      </c>
      <c r="C609">
        <v>249.63413698774184</v>
      </c>
      <c r="D609">
        <v>233.67108284245967</v>
      </c>
      <c r="E609">
        <v>305.00294698584116</v>
      </c>
      <c r="F609">
        <v>264.78994214158422</v>
      </c>
      <c r="G609">
        <v>269.54026083721345</v>
      </c>
      <c r="H609">
        <v>283.34949468393347</v>
      </c>
      <c r="I609">
        <v>294.52837596519299</v>
      </c>
      <c r="J609">
        <v>311.26032826191596</v>
      </c>
      <c r="K609">
        <v>329.18965791933709</v>
      </c>
      <c r="L609">
        <v>375.57088285613986</v>
      </c>
    </row>
    <row r="610" spans="1:12" x14ac:dyDescent="0.25">
      <c r="A610">
        <v>255.04912897038665</v>
      </c>
      <c r="B610">
        <v>264.14924916577172</v>
      </c>
      <c r="C610">
        <v>257.85957439648439</v>
      </c>
      <c r="D610">
        <v>253.57335956887172</v>
      </c>
      <c r="E610">
        <v>303.89490263212372</v>
      </c>
      <c r="F610">
        <v>253.66065942044466</v>
      </c>
      <c r="G610">
        <v>271.60269783034641</v>
      </c>
      <c r="H610">
        <v>288.29197439235298</v>
      </c>
      <c r="I610">
        <v>315.68566111831029</v>
      </c>
      <c r="J610">
        <v>328.68804358365662</v>
      </c>
      <c r="K610">
        <v>337.21029024849179</v>
      </c>
      <c r="L610">
        <v>394.09548331517271</v>
      </c>
    </row>
    <row r="611" spans="1:12" x14ac:dyDescent="0.25">
      <c r="A611">
        <v>245.17113130635087</v>
      </c>
      <c r="B611">
        <v>253.41404959037962</v>
      </c>
      <c r="C611">
        <v>208.53154619785593</v>
      </c>
      <c r="D611">
        <v>222.88609059735967</v>
      </c>
      <c r="E611">
        <v>266.30026083804853</v>
      </c>
      <c r="F611">
        <v>224.06353303895736</v>
      </c>
      <c r="G611">
        <v>229.2161701951012</v>
      </c>
      <c r="H611">
        <v>250.27122393886407</v>
      </c>
      <c r="I611">
        <v>260.93790844885569</v>
      </c>
      <c r="J611">
        <v>263.98403086741894</v>
      </c>
      <c r="K611">
        <v>286.89763518208434</v>
      </c>
      <c r="L611">
        <v>315.44571639807572</v>
      </c>
    </row>
    <row r="612" spans="1:12" x14ac:dyDescent="0.25">
      <c r="A612">
        <v>238.90876846187294</v>
      </c>
      <c r="B612">
        <v>260.4160840808363</v>
      </c>
      <c r="C612">
        <v>236.76603741346193</v>
      </c>
      <c r="D612">
        <v>228.77918308327457</v>
      </c>
      <c r="E612">
        <v>279.89618711066794</v>
      </c>
      <c r="F612">
        <v>241.87953559277852</v>
      </c>
      <c r="G612">
        <v>239.70610994568165</v>
      </c>
      <c r="H612">
        <v>241.64844329035438</v>
      </c>
      <c r="I612">
        <v>243.53198974509391</v>
      </c>
      <c r="J612">
        <v>263.13857844192705</v>
      </c>
      <c r="K612">
        <v>269.72977469967282</v>
      </c>
      <c r="L612">
        <v>305.01541373597195</v>
      </c>
    </row>
    <row r="613" spans="1:12" x14ac:dyDescent="0.25">
      <c r="A613">
        <v>258.73502663921181</v>
      </c>
      <c r="B613">
        <v>274.34013640372677</v>
      </c>
      <c r="C613">
        <v>256.14976394381245</v>
      </c>
      <c r="D613">
        <v>257.93153293344056</v>
      </c>
      <c r="E613">
        <v>307.75598456238413</v>
      </c>
      <c r="F613">
        <v>263.16265448484631</v>
      </c>
      <c r="G613">
        <v>273.51995700478966</v>
      </c>
      <c r="H613">
        <v>283.35880188970128</v>
      </c>
      <c r="I613">
        <v>305.85001865485481</v>
      </c>
      <c r="J613">
        <v>298.95793429765081</v>
      </c>
      <c r="K613">
        <v>318.23523167920382</v>
      </c>
      <c r="L613">
        <v>377.09448187002459</v>
      </c>
    </row>
    <row r="614" spans="1:12" x14ac:dyDescent="0.25">
      <c r="A614">
        <v>258.03856637106497</v>
      </c>
      <c r="B614">
        <v>280.00221769507436</v>
      </c>
      <c r="C614">
        <v>254.60391232384634</v>
      </c>
      <c r="D614">
        <v>257.27606105711965</v>
      </c>
      <c r="E614">
        <v>305.68434999520616</v>
      </c>
      <c r="F614">
        <v>282.48298178184581</v>
      </c>
      <c r="G614">
        <v>282.1885267324422</v>
      </c>
      <c r="H614">
        <v>307.34562005647956</v>
      </c>
      <c r="I614">
        <v>319.44779464160069</v>
      </c>
      <c r="J614">
        <v>340.56715367829599</v>
      </c>
      <c r="K614">
        <v>358.04000082241708</v>
      </c>
      <c r="L614">
        <v>457.46837866355094</v>
      </c>
    </row>
    <row r="615" spans="1:12" x14ac:dyDescent="0.25">
      <c r="A615">
        <v>256.14803625611881</v>
      </c>
      <c r="B615">
        <v>280.06446189836242</v>
      </c>
      <c r="C615">
        <v>269.91837402956924</v>
      </c>
      <c r="D615">
        <v>259.40776739453662</v>
      </c>
      <c r="E615">
        <v>301.36711482382748</v>
      </c>
      <c r="F615">
        <v>272.10921690851296</v>
      </c>
      <c r="G615">
        <v>286.85039216946683</v>
      </c>
      <c r="H615">
        <v>290.75026898978859</v>
      </c>
      <c r="I615">
        <v>313.79059527158563</v>
      </c>
      <c r="J615">
        <v>354.91107624805693</v>
      </c>
      <c r="K615">
        <v>381.16848551065249</v>
      </c>
      <c r="L615">
        <v>433.86579898436401</v>
      </c>
    </row>
    <row r="616" spans="1:12" x14ac:dyDescent="0.25">
      <c r="A616">
        <v>247.13388664959737</v>
      </c>
      <c r="B616">
        <v>273.70748210885677</v>
      </c>
      <c r="C616">
        <v>253.93890589524739</v>
      </c>
      <c r="D616">
        <v>254.8980160691884</v>
      </c>
      <c r="E616">
        <v>297.50311378832731</v>
      </c>
      <c r="F616">
        <v>269.77963052674232</v>
      </c>
      <c r="G616">
        <v>289.64298765437053</v>
      </c>
      <c r="H616">
        <v>284.62783308844234</v>
      </c>
      <c r="I616">
        <v>318.62448482242337</v>
      </c>
      <c r="J616">
        <v>343.30017333995272</v>
      </c>
      <c r="K616">
        <v>340.06958422695129</v>
      </c>
      <c r="L616">
        <v>434.82501652905216</v>
      </c>
    </row>
    <row r="617" spans="1:12" x14ac:dyDescent="0.25">
      <c r="A617">
        <v>241.40688862879742</v>
      </c>
      <c r="B617">
        <v>267.69451331293027</v>
      </c>
      <c r="C617">
        <v>254.03056335289327</v>
      </c>
      <c r="D617">
        <v>239.82067800162608</v>
      </c>
      <c r="E617">
        <v>284.4706152324552</v>
      </c>
      <c r="F617">
        <v>247.15446074608704</v>
      </c>
      <c r="G617">
        <v>261.14592333239091</v>
      </c>
      <c r="H617">
        <v>243.79614391668497</v>
      </c>
      <c r="I617">
        <v>268.7083529069717</v>
      </c>
      <c r="J617">
        <v>295.02707145093757</v>
      </c>
      <c r="K617">
        <v>300.59844581525891</v>
      </c>
      <c r="L617">
        <v>355.15149348789964</v>
      </c>
    </row>
    <row r="618" spans="1:12" x14ac:dyDescent="0.25">
      <c r="A618">
        <v>250.11776217426527</v>
      </c>
      <c r="B618">
        <v>266.37577592551196</v>
      </c>
      <c r="C618">
        <v>224.25828900004714</v>
      </c>
      <c r="D618">
        <v>232.93855822061676</v>
      </c>
      <c r="E618">
        <v>276.87066471982638</v>
      </c>
      <c r="F618">
        <v>240.04371858180355</v>
      </c>
      <c r="G618">
        <v>236.91078739190016</v>
      </c>
      <c r="H618">
        <v>239.3142433659016</v>
      </c>
      <c r="I618">
        <v>252.91492775149283</v>
      </c>
      <c r="J618">
        <v>253.69074397604174</v>
      </c>
      <c r="K618">
        <v>281.12213361225253</v>
      </c>
      <c r="L618">
        <v>319.22464555832511</v>
      </c>
    </row>
    <row r="619" spans="1:12" x14ac:dyDescent="0.25">
      <c r="A619">
        <v>249.20986382672933</v>
      </c>
      <c r="B619">
        <v>282.52753832088825</v>
      </c>
      <c r="C619">
        <v>227.98465473033281</v>
      </c>
      <c r="D619">
        <v>228.78807387770857</v>
      </c>
      <c r="E619">
        <v>282.15058792049007</v>
      </c>
      <c r="F619">
        <v>230.45960838769972</v>
      </c>
      <c r="G619">
        <v>254.09338530374163</v>
      </c>
      <c r="H619">
        <v>246.07390880893846</v>
      </c>
      <c r="I619">
        <v>270.57978214945388</v>
      </c>
      <c r="J619">
        <v>283.63323931622261</v>
      </c>
      <c r="K619">
        <v>282.07349716116147</v>
      </c>
      <c r="L619">
        <v>329.01985064066326</v>
      </c>
    </row>
    <row r="620" spans="1:12" x14ac:dyDescent="0.25">
      <c r="A620">
        <v>254.47944382330718</v>
      </c>
      <c r="B620">
        <v>253.21081750954488</v>
      </c>
      <c r="C620">
        <v>246.52060007828533</v>
      </c>
      <c r="D620">
        <v>254.25690664871576</v>
      </c>
      <c r="E620">
        <v>273.70550197520015</v>
      </c>
      <c r="F620">
        <v>253.90288956111837</v>
      </c>
      <c r="G620">
        <v>263.78731654017878</v>
      </c>
      <c r="H620">
        <v>282.41590870424386</v>
      </c>
      <c r="I620">
        <v>321.18956052519025</v>
      </c>
      <c r="J620">
        <v>315.66411744061213</v>
      </c>
      <c r="K620">
        <v>346.39380382110198</v>
      </c>
      <c r="L620">
        <v>398.91180056326624</v>
      </c>
    </row>
    <row r="621" spans="1:12" x14ac:dyDescent="0.25">
      <c r="A621">
        <v>223.09109291385869</v>
      </c>
      <c r="B621">
        <v>258.05043814011623</v>
      </c>
      <c r="C621">
        <v>249.12120310174944</v>
      </c>
      <c r="D621">
        <v>234.604446931485</v>
      </c>
      <c r="E621">
        <v>280.40480856128676</v>
      </c>
      <c r="F621">
        <v>231.51777690457655</v>
      </c>
      <c r="G621">
        <v>247.13312022259473</v>
      </c>
      <c r="H621">
        <v>255.13634815107761</v>
      </c>
      <c r="I621">
        <v>268.35186580239423</v>
      </c>
      <c r="J621">
        <v>271.98168145612055</v>
      </c>
      <c r="K621">
        <v>282.07659093974314</v>
      </c>
      <c r="L621">
        <v>321.92200755586526</v>
      </c>
    </row>
    <row r="622" spans="1:12" x14ac:dyDescent="0.25">
      <c r="A622">
        <v>245.81659585865671</v>
      </c>
      <c r="B622">
        <v>279.96535136188191</v>
      </c>
      <c r="C622">
        <v>239.70970908457971</v>
      </c>
      <c r="D622">
        <v>246.56128984024352</v>
      </c>
      <c r="E622">
        <v>272.20531273680103</v>
      </c>
      <c r="F622">
        <v>259.23850069646949</v>
      </c>
      <c r="G622">
        <v>263.87714580804055</v>
      </c>
      <c r="H622">
        <v>240.90964412399202</v>
      </c>
      <c r="I622">
        <v>266.12218140110406</v>
      </c>
      <c r="J622">
        <v>261.19784251112299</v>
      </c>
      <c r="K622">
        <v>289.12899747092519</v>
      </c>
      <c r="L622">
        <v>331.30025443744364</v>
      </c>
    </row>
    <row r="623" spans="1:12" x14ac:dyDescent="0.25">
      <c r="A623">
        <v>236.62924532564693</v>
      </c>
      <c r="B623">
        <v>247.49528837331633</v>
      </c>
      <c r="C623">
        <v>226.77277441256217</v>
      </c>
      <c r="D623">
        <v>219.03017403566926</v>
      </c>
      <c r="E623">
        <v>261.50167338714232</v>
      </c>
      <c r="F623">
        <v>238.4664890438643</v>
      </c>
      <c r="G623">
        <v>258.8715253256845</v>
      </c>
      <c r="H623">
        <v>255.09479154403715</v>
      </c>
      <c r="I623">
        <v>271.84507566685846</v>
      </c>
      <c r="J623">
        <v>292.32557492406568</v>
      </c>
      <c r="K623">
        <v>307.32574978539509</v>
      </c>
      <c r="L623">
        <v>355.38580684695688</v>
      </c>
    </row>
    <row r="624" spans="1:12" x14ac:dyDescent="0.25">
      <c r="A624">
        <v>236.71199934718604</v>
      </c>
      <c r="B624">
        <v>273.78760331511916</v>
      </c>
      <c r="C624">
        <v>223.90111540206698</v>
      </c>
      <c r="D624">
        <v>222.56714799042118</v>
      </c>
      <c r="E624">
        <v>276.32147535166592</v>
      </c>
      <c r="F624">
        <v>250.39367087147872</v>
      </c>
      <c r="G624">
        <v>267.27822998971061</v>
      </c>
      <c r="H624">
        <v>264.54221207044264</v>
      </c>
      <c r="I624">
        <v>282.70617349461861</v>
      </c>
      <c r="J624">
        <v>311.12398426845596</v>
      </c>
      <c r="K624">
        <v>328.92760826644724</v>
      </c>
      <c r="L624">
        <v>386.30332301292458</v>
      </c>
    </row>
    <row r="625" spans="1:12" x14ac:dyDescent="0.25">
      <c r="A625">
        <v>248.49566376056364</v>
      </c>
      <c r="B625">
        <v>278.09013317555991</v>
      </c>
      <c r="C625">
        <v>235.9870993360791</v>
      </c>
      <c r="D625">
        <v>267.89980341432158</v>
      </c>
      <c r="E625">
        <v>286.35564612255968</v>
      </c>
      <c r="F625">
        <v>253.91679391671039</v>
      </c>
      <c r="G625">
        <v>274.02460568560571</v>
      </c>
      <c r="H625">
        <v>287.84483128645701</v>
      </c>
      <c r="I625">
        <v>318.02141734251421</v>
      </c>
      <c r="J625">
        <v>322.74210920824186</v>
      </c>
      <c r="K625">
        <v>338.41433541664003</v>
      </c>
      <c r="L625">
        <v>398.67730497480306</v>
      </c>
    </row>
    <row r="626" spans="1:12" x14ac:dyDescent="0.25">
      <c r="A626">
        <v>247.86006380766324</v>
      </c>
      <c r="B626">
        <v>270.54848746826815</v>
      </c>
      <c r="C626">
        <v>245.27815978341343</v>
      </c>
      <c r="D626">
        <v>246.59615569710806</v>
      </c>
      <c r="E626">
        <v>282.85697315191999</v>
      </c>
      <c r="F626">
        <v>259.57718655039355</v>
      </c>
      <c r="G626">
        <v>264.56524819845527</v>
      </c>
      <c r="H626">
        <v>283.78759264272088</v>
      </c>
      <c r="I626">
        <v>298.28213671892121</v>
      </c>
      <c r="J626">
        <v>322.52199465134811</v>
      </c>
      <c r="K626">
        <v>338.9161363036506</v>
      </c>
      <c r="L626">
        <v>398.13583092094683</v>
      </c>
    </row>
    <row r="627" spans="1:12" x14ac:dyDescent="0.25">
      <c r="A627">
        <v>243.96280015546805</v>
      </c>
      <c r="B627">
        <v>246.39907567017102</v>
      </c>
      <c r="C627">
        <v>227.9679699458398</v>
      </c>
      <c r="D627">
        <v>232.28571741808588</v>
      </c>
      <c r="E627">
        <v>282.68038068814121</v>
      </c>
      <c r="F627">
        <v>245.0688691828131</v>
      </c>
      <c r="G627">
        <v>258.96447047968991</v>
      </c>
      <c r="H627">
        <v>256.92597727803582</v>
      </c>
      <c r="I627">
        <v>286.26773489265372</v>
      </c>
      <c r="J627">
        <v>282.72428154336848</v>
      </c>
      <c r="K627">
        <v>307.2149753064262</v>
      </c>
      <c r="L627">
        <v>352.49034849507024</v>
      </c>
    </row>
    <row r="628" spans="1:12" x14ac:dyDescent="0.25">
      <c r="A628">
        <v>239.0528449904011</v>
      </c>
      <c r="B628">
        <v>257.21198650609614</v>
      </c>
      <c r="C628">
        <v>257.55328487795833</v>
      </c>
      <c r="D628">
        <v>228.49866948845752</v>
      </c>
      <c r="E628">
        <v>287.77509252391769</v>
      </c>
      <c r="F628">
        <v>235.5207341080413</v>
      </c>
      <c r="G628">
        <v>254.84218888960959</v>
      </c>
      <c r="H628">
        <v>254.99183961556275</v>
      </c>
      <c r="I628">
        <v>274.7044080152013</v>
      </c>
      <c r="J628">
        <v>301.46268734942271</v>
      </c>
      <c r="K628">
        <v>312.86744615271641</v>
      </c>
      <c r="L628">
        <v>356.97812139569845</v>
      </c>
    </row>
    <row r="629" spans="1:12" x14ac:dyDescent="0.25">
      <c r="A629">
        <v>255.25511519258058</v>
      </c>
      <c r="B629">
        <v>272.79863835447793</v>
      </c>
      <c r="C629">
        <v>260.04207243228132</v>
      </c>
      <c r="D629">
        <v>263.66130387414495</v>
      </c>
      <c r="E629">
        <v>297.85724789986051</v>
      </c>
      <c r="F629">
        <v>281.50254675228143</v>
      </c>
      <c r="G629">
        <v>278.72273200545038</v>
      </c>
      <c r="H629">
        <v>285.04451724869148</v>
      </c>
      <c r="I629">
        <v>307.35814925131245</v>
      </c>
      <c r="J629">
        <v>319.36430941184454</v>
      </c>
      <c r="K629">
        <v>360.35466383850843</v>
      </c>
      <c r="L629">
        <v>423.75303909194753</v>
      </c>
    </row>
    <row r="630" spans="1:12" x14ac:dyDescent="0.25">
      <c r="A630">
        <v>243.30624698416375</v>
      </c>
      <c r="B630">
        <v>271.16687083639437</v>
      </c>
      <c r="C630">
        <v>249.35343164203431</v>
      </c>
      <c r="D630">
        <v>243.04905178890286</v>
      </c>
      <c r="E630">
        <v>297.17188938175531</v>
      </c>
      <c r="F630">
        <v>257.22530081355598</v>
      </c>
      <c r="G630">
        <v>265.96182694063384</v>
      </c>
      <c r="H630">
        <v>272.35661078793925</v>
      </c>
      <c r="I630">
        <v>307.39235380812335</v>
      </c>
      <c r="J630">
        <v>301.64090245447443</v>
      </c>
      <c r="K630">
        <v>320.21239515266785</v>
      </c>
      <c r="L630">
        <v>357.15484331915212</v>
      </c>
    </row>
    <row r="631" spans="1:12" x14ac:dyDescent="0.25">
      <c r="A631">
        <v>251.6792574509843</v>
      </c>
      <c r="B631">
        <v>272.64715770710256</v>
      </c>
      <c r="C631">
        <v>243.00084407624237</v>
      </c>
      <c r="D631">
        <v>246.42332542574701</v>
      </c>
      <c r="E631">
        <v>296.02658017074913</v>
      </c>
      <c r="F631">
        <v>279.54105006981086</v>
      </c>
      <c r="G631">
        <v>283.62071252198933</v>
      </c>
      <c r="H631">
        <v>301.50267487557431</v>
      </c>
      <c r="I631">
        <v>314.50264593598263</v>
      </c>
      <c r="J631">
        <v>338.32170534682854</v>
      </c>
      <c r="K631">
        <v>365.37411841142733</v>
      </c>
      <c r="L631">
        <v>448.10310439747042</v>
      </c>
    </row>
    <row r="632" spans="1:12" x14ac:dyDescent="0.25">
      <c r="A632">
        <v>242.85315516111027</v>
      </c>
      <c r="B632">
        <v>271.33067791776602</v>
      </c>
      <c r="C632">
        <v>220.28042779702568</v>
      </c>
      <c r="D632">
        <v>222.60651137235297</v>
      </c>
      <c r="E632">
        <v>272.715083718541</v>
      </c>
      <c r="F632">
        <v>227.59295698637703</v>
      </c>
      <c r="G632">
        <v>231.26722713098852</v>
      </c>
      <c r="H632">
        <v>234.2097029312819</v>
      </c>
      <c r="I632">
        <v>271.18681806985592</v>
      </c>
      <c r="J632">
        <v>266.04887990608171</v>
      </c>
      <c r="K632">
        <v>281.58488064205039</v>
      </c>
      <c r="L632">
        <v>326.84826704252453</v>
      </c>
    </row>
    <row r="633" spans="1:12" x14ac:dyDescent="0.25">
      <c r="A633">
        <v>249.3776374485177</v>
      </c>
      <c r="B633">
        <v>270.39158641884836</v>
      </c>
      <c r="C633">
        <v>239.96547657955568</v>
      </c>
      <c r="D633">
        <v>254.83178935484653</v>
      </c>
      <c r="E633">
        <v>265.72877202449234</v>
      </c>
      <c r="F633">
        <v>249.26417902254414</v>
      </c>
      <c r="G633">
        <v>270.49749504397289</v>
      </c>
      <c r="H633">
        <v>260.1987374586455</v>
      </c>
      <c r="I633">
        <v>281.00526389535577</v>
      </c>
      <c r="J633">
        <v>291.41177690558459</v>
      </c>
      <c r="K633">
        <v>304.86214851122168</v>
      </c>
      <c r="L633">
        <v>361.63570288538642</v>
      </c>
    </row>
    <row r="634" spans="1:12" x14ac:dyDescent="0.25">
      <c r="A634">
        <v>246.50098360828056</v>
      </c>
      <c r="B634">
        <v>269.2526893669143</v>
      </c>
      <c r="C634">
        <v>248.06647629972616</v>
      </c>
      <c r="D634">
        <v>249.31466056532125</v>
      </c>
      <c r="E634">
        <v>285.75147388532736</v>
      </c>
      <c r="F634">
        <v>274.70236499469132</v>
      </c>
      <c r="G634">
        <v>267.99650435425576</v>
      </c>
      <c r="H634">
        <v>271.85165426433122</v>
      </c>
      <c r="I634">
        <v>323.90980839621398</v>
      </c>
      <c r="J634">
        <v>319.94745338248657</v>
      </c>
      <c r="K634">
        <v>343.82262809867808</v>
      </c>
      <c r="L634">
        <v>412.53044625501616</v>
      </c>
    </row>
    <row r="635" spans="1:12" x14ac:dyDescent="0.25">
      <c r="A635">
        <v>247.8313623395855</v>
      </c>
      <c r="B635">
        <v>240.79329594723032</v>
      </c>
      <c r="C635">
        <v>222.01828766755722</v>
      </c>
      <c r="D635">
        <v>220.29035879956982</v>
      </c>
      <c r="E635">
        <v>251.17571841672378</v>
      </c>
      <c r="F635">
        <v>222.52761542099</v>
      </c>
      <c r="G635">
        <v>223.9969139180902</v>
      </c>
      <c r="H635">
        <v>232.96186865359851</v>
      </c>
      <c r="I635">
        <v>241.4875181960582</v>
      </c>
      <c r="J635">
        <v>257.46212373045904</v>
      </c>
      <c r="K635">
        <v>272.95236103011422</v>
      </c>
      <c r="L635">
        <v>306.29570693261024</v>
      </c>
    </row>
    <row r="636" spans="1:12" x14ac:dyDescent="0.25">
      <c r="A636">
        <v>226.4230039160384</v>
      </c>
      <c r="B636">
        <v>246.62054183788342</v>
      </c>
      <c r="C636">
        <v>232.77529320833972</v>
      </c>
      <c r="D636">
        <v>233.89346726950043</v>
      </c>
      <c r="E636">
        <v>273.52507766193935</v>
      </c>
      <c r="F636">
        <v>228.04696101543743</v>
      </c>
      <c r="G636">
        <v>242.7656694824139</v>
      </c>
      <c r="H636">
        <v>238.47179253003193</v>
      </c>
      <c r="I636">
        <v>274.1549495907106</v>
      </c>
      <c r="J636">
        <v>274.04890887650993</v>
      </c>
      <c r="K636">
        <v>284.73853713737998</v>
      </c>
      <c r="L636">
        <v>331.27121282845729</v>
      </c>
    </row>
    <row r="637" spans="1:12" x14ac:dyDescent="0.25">
      <c r="A637">
        <v>250.74780881036304</v>
      </c>
      <c r="B637">
        <v>285.04662457769172</v>
      </c>
      <c r="C637">
        <v>255.87957818086153</v>
      </c>
      <c r="D637">
        <v>260.47530646077979</v>
      </c>
      <c r="E637">
        <v>306.45838822850715</v>
      </c>
      <c r="F637">
        <v>267.31735254772565</v>
      </c>
      <c r="G637">
        <v>276.35378843484921</v>
      </c>
      <c r="H637">
        <v>284.95322093075725</v>
      </c>
      <c r="I637">
        <v>323.04179100975887</v>
      </c>
      <c r="J637">
        <v>339.50033101647017</v>
      </c>
      <c r="K637">
        <v>356.3138774474005</v>
      </c>
      <c r="L637">
        <v>419.88742589925528</v>
      </c>
    </row>
    <row r="638" spans="1:12" x14ac:dyDescent="0.25">
      <c r="A638">
        <v>215.05593734356131</v>
      </c>
      <c r="B638">
        <v>238.75666774410018</v>
      </c>
      <c r="C638">
        <v>230.01909538406343</v>
      </c>
      <c r="D638">
        <v>215.75833868929959</v>
      </c>
      <c r="E638">
        <v>243.85077150322337</v>
      </c>
      <c r="F638">
        <v>239.86972427900386</v>
      </c>
      <c r="G638">
        <v>242.87957566379669</v>
      </c>
      <c r="H638">
        <v>230.2220495807681</v>
      </c>
      <c r="I638">
        <v>246.73442540276238</v>
      </c>
      <c r="J638">
        <v>260.35991608940128</v>
      </c>
      <c r="K638">
        <v>260.29813318936391</v>
      </c>
      <c r="L638">
        <v>308.98797181658313</v>
      </c>
    </row>
    <row r="639" spans="1:12" x14ac:dyDescent="0.25">
      <c r="A639">
        <v>258.88613395696069</v>
      </c>
      <c r="B639">
        <v>261.57308388935121</v>
      </c>
      <c r="C639">
        <v>244.47538890722714</v>
      </c>
      <c r="D639">
        <v>242.72754457710218</v>
      </c>
      <c r="E639">
        <v>289.34933243579292</v>
      </c>
      <c r="F639">
        <v>260.65162274209126</v>
      </c>
      <c r="G639">
        <v>280.36579407841361</v>
      </c>
      <c r="H639">
        <v>280.36182552573183</v>
      </c>
      <c r="I639">
        <v>296.96115531327467</v>
      </c>
      <c r="J639">
        <v>313.50430296735448</v>
      </c>
      <c r="K639">
        <v>326.97454043856442</v>
      </c>
      <c r="L639">
        <v>385.635910569641</v>
      </c>
    </row>
    <row r="640" spans="1:12" x14ac:dyDescent="0.25">
      <c r="A640">
        <v>247.05228937419361</v>
      </c>
      <c r="B640">
        <v>265.36247228876101</v>
      </c>
      <c r="C640">
        <v>231.13572881428576</v>
      </c>
      <c r="D640">
        <v>253.2340352968063</v>
      </c>
      <c r="E640">
        <v>299.53672529236133</v>
      </c>
      <c r="F640">
        <v>239.24203938696098</v>
      </c>
      <c r="G640">
        <v>252.29077538387585</v>
      </c>
      <c r="H640">
        <v>274.34431201850958</v>
      </c>
      <c r="I640">
        <v>302.58896535363624</v>
      </c>
      <c r="J640">
        <v>289.80140372286587</v>
      </c>
      <c r="K640">
        <v>321.71845854642868</v>
      </c>
      <c r="L640">
        <v>361.98188014392196</v>
      </c>
    </row>
    <row r="641" spans="1:12" x14ac:dyDescent="0.25">
      <c r="A641">
        <v>250.96745767076223</v>
      </c>
      <c r="B641">
        <v>278.58043333927748</v>
      </c>
      <c r="C641">
        <v>252.01863923707228</v>
      </c>
      <c r="D641">
        <v>254.05405671339764</v>
      </c>
      <c r="E641">
        <v>301.08049687820602</v>
      </c>
      <c r="F641">
        <v>268.39530585985204</v>
      </c>
      <c r="G641">
        <v>260.62757778305797</v>
      </c>
      <c r="H641">
        <v>276.24272860544789</v>
      </c>
      <c r="I641">
        <v>315.42347687672748</v>
      </c>
      <c r="J641">
        <v>341.70498457174313</v>
      </c>
      <c r="K641">
        <v>358.75947297998403</v>
      </c>
      <c r="L641">
        <v>411.65319416752811</v>
      </c>
    </row>
    <row r="642" spans="1:12" x14ac:dyDescent="0.25">
      <c r="A642">
        <v>244.44134053487039</v>
      </c>
      <c r="B642">
        <v>256.01476149973763</v>
      </c>
      <c r="C642">
        <v>223.35559813013589</v>
      </c>
      <c r="D642">
        <v>216.12839980663202</v>
      </c>
      <c r="E642">
        <v>260.26547740048852</v>
      </c>
      <c r="F642">
        <v>225.14627674639829</v>
      </c>
      <c r="G642">
        <v>222.08315755799333</v>
      </c>
      <c r="H642">
        <v>237.66152118976558</v>
      </c>
      <c r="I642">
        <v>256.21685093794849</v>
      </c>
      <c r="J642">
        <v>255.7565247910145</v>
      </c>
      <c r="K642">
        <v>285.886332642664</v>
      </c>
      <c r="L642">
        <v>317.71314971444747</v>
      </c>
    </row>
    <row r="643" spans="1:12" x14ac:dyDescent="0.25">
      <c r="A643">
        <v>242.48476624187461</v>
      </c>
      <c r="B643">
        <v>261.30656786222511</v>
      </c>
      <c r="C643">
        <v>253.91227451207661</v>
      </c>
      <c r="D643">
        <v>244.51708981354125</v>
      </c>
      <c r="E643">
        <v>296.28622450467986</v>
      </c>
      <c r="F643">
        <v>240.30135198357584</v>
      </c>
      <c r="G643">
        <v>264.41401787306609</v>
      </c>
      <c r="H643">
        <v>266.40173347891437</v>
      </c>
      <c r="I643">
        <v>287.02849968613788</v>
      </c>
      <c r="J643">
        <v>288.80444370854559</v>
      </c>
      <c r="K643">
        <v>327.05378377590381</v>
      </c>
      <c r="L643">
        <v>383.10576542152319</v>
      </c>
    </row>
    <row r="644" spans="1:12" x14ac:dyDescent="0.25">
      <c r="A644">
        <v>251.56956998211163</v>
      </c>
      <c r="B644">
        <v>270.29532139755025</v>
      </c>
      <c r="C644">
        <v>246.75402667483013</v>
      </c>
      <c r="D644">
        <v>224.59435228856344</v>
      </c>
      <c r="E644">
        <v>273.5182491029401</v>
      </c>
      <c r="F644">
        <v>256.01522047765712</v>
      </c>
      <c r="G644">
        <v>248.68278464338746</v>
      </c>
      <c r="H644">
        <v>262.26404311672286</v>
      </c>
      <c r="I644">
        <v>296.59090212469096</v>
      </c>
      <c r="J644">
        <v>294.90110618998699</v>
      </c>
      <c r="K644">
        <v>306.92106153161154</v>
      </c>
      <c r="L644">
        <v>376.01117905154166</v>
      </c>
    </row>
    <row r="645" spans="1:12" x14ac:dyDescent="0.25">
      <c r="A645">
        <v>233.55844393801169</v>
      </c>
      <c r="B645">
        <v>254.03227729342316</v>
      </c>
      <c r="C645">
        <v>226.04227527077589</v>
      </c>
      <c r="D645">
        <v>246.69258473040423</v>
      </c>
      <c r="E645">
        <v>275.86123655735594</v>
      </c>
      <c r="F645">
        <v>239.03662055849418</v>
      </c>
      <c r="G645">
        <v>247.14832007557033</v>
      </c>
      <c r="H645">
        <v>253.80102317142018</v>
      </c>
      <c r="I645">
        <v>288.83946169641939</v>
      </c>
      <c r="J645">
        <v>303.57032825376945</v>
      </c>
      <c r="K645">
        <v>326.43869834471087</v>
      </c>
      <c r="L645">
        <v>353.03561585851361</v>
      </c>
    </row>
    <row r="646" spans="1:12" x14ac:dyDescent="0.25">
      <c r="A646">
        <v>249.79511078960331</v>
      </c>
      <c r="B646">
        <v>257.15831713393953</v>
      </c>
      <c r="C646">
        <v>229.95851616840767</v>
      </c>
      <c r="D646">
        <v>222.75811023025318</v>
      </c>
      <c r="E646">
        <v>275.28727467093177</v>
      </c>
      <c r="F646">
        <v>254.33431141435429</v>
      </c>
      <c r="G646">
        <v>254.20162584249562</v>
      </c>
      <c r="H646">
        <v>267.48545511830048</v>
      </c>
      <c r="I646">
        <v>275.13204880731877</v>
      </c>
      <c r="J646">
        <v>297.38970222263498</v>
      </c>
      <c r="K646">
        <v>298.73230690573791</v>
      </c>
      <c r="L646">
        <v>351.20891445491526</v>
      </c>
    </row>
    <row r="647" spans="1:12" x14ac:dyDescent="0.25">
      <c r="A647">
        <v>245.3227534965533</v>
      </c>
      <c r="B647">
        <v>264.35108710680282</v>
      </c>
      <c r="C647">
        <v>236.86233258489486</v>
      </c>
      <c r="D647">
        <v>258.44268816179027</v>
      </c>
      <c r="E647">
        <v>296.10083487214405</v>
      </c>
      <c r="F647">
        <v>266.01694262594748</v>
      </c>
      <c r="G647">
        <v>256.98751015641579</v>
      </c>
      <c r="H647">
        <v>261.81283352067453</v>
      </c>
      <c r="I647">
        <v>288.45761728180469</v>
      </c>
      <c r="J647">
        <v>307.26819713078112</v>
      </c>
      <c r="K647">
        <v>333.73634045199043</v>
      </c>
      <c r="L647">
        <v>390.64574459453303</v>
      </c>
    </row>
    <row r="648" spans="1:12" x14ac:dyDescent="0.25">
      <c r="A648">
        <v>258.56604497200965</v>
      </c>
      <c r="B648">
        <v>291.01631469459448</v>
      </c>
      <c r="C648">
        <v>263.13317183169539</v>
      </c>
      <c r="D648">
        <v>279.57157543459044</v>
      </c>
      <c r="E648">
        <v>332.18543761539684</v>
      </c>
      <c r="F648">
        <v>286.83486822001083</v>
      </c>
      <c r="G648">
        <v>310.52000376789198</v>
      </c>
      <c r="H648">
        <v>311.28357655189461</v>
      </c>
      <c r="I648">
        <v>345.96807558677267</v>
      </c>
      <c r="J648">
        <v>357.70842985800203</v>
      </c>
      <c r="K648">
        <v>377.23044352181199</v>
      </c>
      <c r="L648">
        <v>454.69062636711521</v>
      </c>
    </row>
    <row r="649" spans="1:12" x14ac:dyDescent="0.25">
      <c r="A649">
        <v>229.78405346537608</v>
      </c>
      <c r="B649">
        <v>254.26170253535716</v>
      </c>
      <c r="C649">
        <v>230.05307894821638</v>
      </c>
      <c r="D649">
        <v>238.61176226705371</v>
      </c>
      <c r="E649">
        <v>283.55749655167631</v>
      </c>
      <c r="F649">
        <v>239.37745674900708</v>
      </c>
      <c r="G649">
        <v>264.4158642446958</v>
      </c>
      <c r="H649">
        <v>238.19625520115576</v>
      </c>
      <c r="I649">
        <v>281.7392436026567</v>
      </c>
      <c r="J649">
        <v>302.99718302143827</v>
      </c>
      <c r="K649">
        <v>306.56183238638204</v>
      </c>
      <c r="L649">
        <v>356.57992118972919</v>
      </c>
    </row>
    <row r="650" spans="1:12" x14ac:dyDescent="0.25">
      <c r="A650">
        <v>219.25136467585372</v>
      </c>
      <c r="B650">
        <v>250.4959159157581</v>
      </c>
      <c r="C650">
        <v>229.72837238493321</v>
      </c>
      <c r="D650">
        <v>232.79164832340004</v>
      </c>
      <c r="E650">
        <v>281.42098657734175</v>
      </c>
      <c r="F650">
        <v>252.61659505147904</v>
      </c>
      <c r="G650">
        <v>262.0809718318751</v>
      </c>
      <c r="H650">
        <v>269.87985435416914</v>
      </c>
      <c r="I650">
        <v>296.57116897941785</v>
      </c>
      <c r="J650">
        <v>319.65169490294932</v>
      </c>
      <c r="K650">
        <v>320.64304285109876</v>
      </c>
      <c r="L650">
        <v>381.98484019588602</v>
      </c>
    </row>
    <row r="651" spans="1:12" x14ac:dyDescent="0.25">
      <c r="A651">
        <v>221.13774171454364</v>
      </c>
      <c r="B651">
        <v>252.14058660330372</v>
      </c>
      <c r="C651">
        <v>215.08737808752554</v>
      </c>
      <c r="D651">
        <v>208.31303910298882</v>
      </c>
      <c r="E651">
        <v>245.72848930790826</v>
      </c>
      <c r="F651">
        <v>231.0541664692432</v>
      </c>
      <c r="G651">
        <v>221.62854074494743</v>
      </c>
      <c r="H651">
        <v>223.6735118979804</v>
      </c>
      <c r="I651">
        <v>239.8687841127238</v>
      </c>
      <c r="J651">
        <v>237.48964280005876</v>
      </c>
      <c r="K651">
        <v>256.74412615099112</v>
      </c>
      <c r="L651">
        <v>289.85000097637766</v>
      </c>
    </row>
    <row r="652" spans="1:12" x14ac:dyDescent="0.25">
      <c r="A652">
        <v>228.23171542649513</v>
      </c>
      <c r="B652">
        <v>269.53613439655146</v>
      </c>
      <c r="C652">
        <v>238.30857290314495</v>
      </c>
      <c r="D652">
        <v>241.96324752556029</v>
      </c>
      <c r="E652">
        <v>256.52376746839013</v>
      </c>
      <c r="F652">
        <v>237.12673920878751</v>
      </c>
      <c r="G652">
        <v>251.63767338083568</v>
      </c>
      <c r="H652">
        <v>244.63618794792228</v>
      </c>
      <c r="I652">
        <v>287.14437296621526</v>
      </c>
      <c r="J652">
        <v>274.27525623580783</v>
      </c>
      <c r="K652">
        <v>291.14799417961757</v>
      </c>
      <c r="L652">
        <v>348.46997932911688</v>
      </c>
    </row>
    <row r="653" spans="1:12" x14ac:dyDescent="0.25">
      <c r="A653">
        <v>269.8374770189431</v>
      </c>
      <c r="B653">
        <v>275.4651894331115</v>
      </c>
      <c r="C653">
        <v>262.52921064420838</v>
      </c>
      <c r="D653">
        <v>268.39819234318151</v>
      </c>
      <c r="E653">
        <v>304.69004012723633</v>
      </c>
      <c r="F653">
        <v>278.14154176924865</v>
      </c>
      <c r="G653">
        <v>290.92637348188032</v>
      </c>
      <c r="H653">
        <v>308.28610559636667</v>
      </c>
      <c r="I653">
        <v>322.9449971456969</v>
      </c>
      <c r="J653">
        <v>343.59617950091985</v>
      </c>
      <c r="K653">
        <v>381.21308041999322</v>
      </c>
      <c r="L653">
        <v>438.24895601194413</v>
      </c>
    </row>
    <row r="654" spans="1:12" x14ac:dyDescent="0.25">
      <c r="A654">
        <v>242.76741405992414</v>
      </c>
      <c r="B654">
        <v>261.44770422144398</v>
      </c>
      <c r="C654">
        <v>233.38799710207948</v>
      </c>
      <c r="D654">
        <v>239.41007728805417</v>
      </c>
      <c r="E654">
        <v>266.491151435083</v>
      </c>
      <c r="F654">
        <v>241.98403379885227</v>
      </c>
      <c r="G654">
        <v>258.54668318139784</v>
      </c>
      <c r="H654">
        <v>258.37017957122134</v>
      </c>
      <c r="I654">
        <v>286.29774924126531</v>
      </c>
      <c r="J654">
        <v>286.18033771656076</v>
      </c>
      <c r="K654">
        <v>307.19083653760958</v>
      </c>
      <c r="L654">
        <v>363.20531027066932</v>
      </c>
    </row>
    <row r="655" spans="1:12" x14ac:dyDescent="0.25">
      <c r="A655">
        <v>236.10407981290675</v>
      </c>
      <c r="B655">
        <v>276.79281311799292</v>
      </c>
      <c r="C655">
        <v>247.56143046323612</v>
      </c>
      <c r="D655">
        <v>250.79373064125542</v>
      </c>
      <c r="E655">
        <v>286.61139006395041</v>
      </c>
      <c r="F655">
        <v>263.43459469213184</v>
      </c>
      <c r="G655">
        <v>257.34885388585843</v>
      </c>
      <c r="H655">
        <v>286.1810265548732</v>
      </c>
      <c r="I655">
        <v>281.66689080073269</v>
      </c>
      <c r="J655">
        <v>308.89339638510114</v>
      </c>
      <c r="K655">
        <v>339.67262784450713</v>
      </c>
      <c r="L655">
        <v>381.62132037492978</v>
      </c>
    </row>
    <row r="656" spans="1:12" x14ac:dyDescent="0.25">
      <c r="A656">
        <v>244.28346162685253</v>
      </c>
      <c r="B656">
        <v>257.86702401712313</v>
      </c>
      <c r="C656">
        <v>252.62115177899454</v>
      </c>
      <c r="D656">
        <v>239.45967039905372</v>
      </c>
      <c r="E656">
        <v>290.86313205970663</v>
      </c>
      <c r="F656">
        <v>235.72046029184131</v>
      </c>
      <c r="G656">
        <v>251.94783960718954</v>
      </c>
      <c r="H656">
        <v>264.81083924262435</v>
      </c>
      <c r="I656">
        <v>288.38095169492937</v>
      </c>
      <c r="J656">
        <v>289.11802377753628</v>
      </c>
      <c r="K656">
        <v>314.59363053633734</v>
      </c>
      <c r="L656">
        <v>344.20029913242968</v>
      </c>
    </row>
    <row r="657" spans="1:12" x14ac:dyDescent="0.25">
      <c r="A657">
        <v>246.85016289531615</v>
      </c>
      <c r="B657">
        <v>244.25771394722972</v>
      </c>
      <c r="C657">
        <v>218.55982050903845</v>
      </c>
      <c r="D657">
        <v>232.44329204393927</v>
      </c>
      <c r="E657">
        <v>274.18715051050145</v>
      </c>
      <c r="F657">
        <v>250.85023400801811</v>
      </c>
      <c r="G657">
        <v>253.19394906980779</v>
      </c>
      <c r="H657">
        <v>248.99851682186207</v>
      </c>
      <c r="I657">
        <v>295.43554529014887</v>
      </c>
      <c r="J657">
        <v>291.49748046126592</v>
      </c>
      <c r="K657">
        <v>320.10069408323301</v>
      </c>
      <c r="L657">
        <v>342.52419100231725</v>
      </c>
    </row>
    <row r="658" spans="1:12" x14ac:dyDescent="0.25">
      <c r="A658">
        <v>229.11743099377554</v>
      </c>
      <c r="B658">
        <v>260.4777230378773</v>
      </c>
      <c r="C658">
        <v>242.46633351701112</v>
      </c>
      <c r="D658">
        <v>222.40942644346563</v>
      </c>
      <c r="E658">
        <v>256.82167860585656</v>
      </c>
      <c r="F658">
        <v>236.44133829539535</v>
      </c>
      <c r="G658">
        <v>243.81353505749129</v>
      </c>
      <c r="H658">
        <v>245.42371198271485</v>
      </c>
      <c r="I658">
        <v>256.08475494161547</v>
      </c>
      <c r="J658">
        <v>279.82194759335925</v>
      </c>
      <c r="K658">
        <v>288.89329414825869</v>
      </c>
      <c r="L658">
        <v>327.44546666097762</v>
      </c>
    </row>
    <row r="659" spans="1:12" x14ac:dyDescent="0.25">
      <c r="A659">
        <v>239.14980864699254</v>
      </c>
      <c r="B659">
        <v>265.19129650563593</v>
      </c>
      <c r="C659">
        <v>236.1367865295708</v>
      </c>
      <c r="D659">
        <v>226.74934509054981</v>
      </c>
      <c r="E659">
        <v>277.62923595744547</v>
      </c>
      <c r="F659">
        <v>262.76781423851503</v>
      </c>
      <c r="G659">
        <v>246.08383682491566</v>
      </c>
      <c r="H659">
        <v>257.42374113891907</v>
      </c>
      <c r="I659">
        <v>288.1444398536766</v>
      </c>
      <c r="J659">
        <v>301.0770316872426</v>
      </c>
      <c r="K659">
        <v>332.32241653341885</v>
      </c>
      <c r="L659">
        <v>372.41327404347965</v>
      </c>
    </row>
    <row r="660" spans="1:12" x14ac:dyDescent="0.25">
      <c r="A660">
        <v>236.90982059716976</v>
      </c>
      <c r="B660">
        <v>271.36799738014253</v>
      </c>
      <c r="C660">
        <v>257.87657285178256</v>
      </c>
      <c r="D660">
        <v>210.69086195983488</v>
      </c>
      <c r="E660">
        <v>275.3148192735913</v>
      </c>
      <c r="F660">
        <v>246.02182757709977</v>
      </c>
      <c r="G660">
        <v>256.9641982295783</v>
      </c>
      <c r="H660">
        <v>262.43309873395378</v>
      </c>
      <c r="I660">
        <v>294.01578975157963</v>
      </c>
      <c r="J660">
        <v>298.08307533954837</v>
      </c>
      <c r="K660">
        <v>306.7546673384058</v>
      </c>
      <c r="L660">
        <v>371.82156647157927</v>
      </c>
    </row>
    <row r="661" spans="1:12" x14ac:dyDescent="0.25">
      <c r="A661">
        <v>236.91058346501848</v>
      </c>
      <c r="B661">
        <v>266.06530970580792</v>
      </c>
      <c r="C661">
        <v>249.12684898741909</v>
      </c>
      <c r="D661">
        <v>244.96657731632305</v>
      </c>
      <c r="E661">
        <v>309.37430518706032</v>
      </c>
      <c r="F661">
        <v>265.70145409098552</v>
      </c>
      <c r="G661">
        <v>265.51153082049683</v>
      </c>
      <c r="H661">
        <v>282.96867761849859</v>
      </c>
      <c r="I661">
        <v>304.02931938468816</v>
      </c>
      <c r="J661">
        <v>320.98218698763242</v>
      </c>
      <c r="K661">
        <v>342.57832545336521</v>
      </c>
      <c r="L661">
        <v>394.17556125006007</v>
      </c>
    </row>
    <row r="662" spans="1:12" x14ac:dyDescent="0.25">
      <c r="A662">
        <v>242.00484647996487</v>
      </c>
      <c r="B662">
        <v>257.63204066163706</v>
      </c>
      <c r="C662">
        <v>235.30541904992208</v>
      </c>
      <c r="D662">
        <v>235.20002445663991</v>
      </c>
      <c r="E662">
        <v>249.62380923998253</v>
      </c>
      <c r="F662">
        <v>211.12285200100609</v>
      </c>
      <c r="G662">
        <v>229.28923033221665</v>
      </c>
      <c r="H662">
        <v>230.73137038025399</v>
      </c>
      <c r="I662">
        <v>248.30817694651751</v>
      </c>
      <c r="J662">
        <v>256.91241157674801</v>
      </c>
      <c r="K662">
        <v>247.6672620835117</v>
      </c>
      <c r="L662">
        <v>299.29699337009214</v>
      </c>
    </row>
    <row r="663" spans="1:12" x14ac:dyDescent="0.25">
      <c r="A663">
        <v>245.2779874184005</v>
      </c>
      <c r="B663">
        <v>282.44551539032534</v>
      </c>
      <c r="C663">
        <v>250.40940269264692</v>
      </c>
      <c r="D663">
        <v>246.31117455102716</v>
      </c>
      <c r="E663">
        <v>284.50275250297784</v>
      </c>
      <c r="F663">
        <v>258.55750916980946</v>
      </c>
      <c r="G663">
        <v>264.02945790245951</v>
      </c>
      <c r="H663">
        <v>280.10415829253935</v>
      </c>
      <c r="I663">
        <v>308.44629139497863</v>
      </c>
      <c r="J663">
        <v>324.20238579059321</v>
      </c>
      <c r="K663">
        <v>351.62492958133367</v>
      </c>
      <c r="L663">
        <v>407.63421244413109</v>
      </c>
    </row>
    <row r="664" spans="1:12" x14ac:dyDescent="0.25">
      <c r="A664">
        <v>245.62280070559265</v>
      </c>
      <c r="B664">
        <v>235.37918990648785</v>
      </c>
      <c r="C664">
        <v>217.93773129920018</v>
      </c>
      <c r="D664">
        <v>214.2415480276193</v>
      </c>
      <c r="E664">
        <v>244.77489228532104</v>
      </c>
      <c r="F664">
        <v>211.22065238136156</v>
      </c>
      <c r="G664">
        <v>219.3895953948921</v>
      </c>
      <c r="H664">
        <v>223.40194828705995</v>
      </c>
      <c r="I664">
        <v>236.08951980292818</v>
      </c>
      <c r="J664">
        <v>236.88675549801357</v>
      </c>
      <c r="K664">
        <v>263.3610309449835</v>
      </c>
      <c r="L664">
        <v>287.4922666319639</v>
      </c>
    </row>
    <row r="665" spans="1:12" x14ac:dyDescent="0.25">
      <c r="A665">
        <v>258.39089424940789</v>
      </c>
      <c r="B665">
        <v>259.58361594113148</v>
      </c>
      <c r="C665">
        <v>246.57459086178301</v>
      </c>
      <c r="D665">
        <v>235.83635823595762</v>
      </c>
      <c r="E665">
        <v>282.00599743700064</v>
      </c>
      <c r="F665">
        <v>265.20768437701389</v>
      </c>
      <c r="G665">
        <v>254.51670006601879</v>
      </c>
      <c r="H665">
        <v>249.65365250097136</v>
      </c>
      <c r="I665">
        <v>293.85360778902833</v>
      </c>
      <c r="J665">
        <v>290.10838667309281</v>
      </c>
      <c r="K665">
        <v>323.55496466276378</v>
      </c>
      <c r="L665">
        <v>361.29064486597383</v>
      </c>
    </row>
    <row r="666" spans="1:12" x14ac:dyDescent="0.25">
      <c r="A666">
        <v>237.14316998410683</v>
      </c>
      <c r="B666">
        <v>257.38816792604166</v>
      </c>
      <c r="C666">
        <v>251.51059312088432</v>
      </c>
      <c r="D666">
        <v>261.57293103179757</v>
      </c>
      <c r="E666">
        <v>296.5514267031723</v>
      </c>
      <c r="F666">
        <v>265.17011143180946</v>
      </c>
      <c r="G666">
        <v>283.25140853903798</v>
      </c>
      <c r="H666">
        <v>279.62595171067125</v>
      </c>
      <c r="I666">
        <v>313.28794650895406</v>
      </c>
      <c r="J666">
        <v>345.81514171795897</v>
      </c>
      <c r="K666">
        <v>342.60380688987163</v>
      </c>
      <c r="L666">
        <v>395.48060777439093</v>
      </c>
    </row>
    <row r="667" spans="1:12" x14ac:dyDescent="0.25">
      <c r="A667">
        <v>253.19729671241862</v>
      </c>
      <c r="B667">
        <v>262.61511953752876</v>
      </c>
      <c r="C667">
        <v>229.18686745287192</v>
      </c>
      <c r="D667">
        <v>245.13623213674958</v>
      </c>
      <c r="E667">
        <v>270.93987251254987</v>
      </c>
      <c r="F667">
        <v>239.46320002321735</v>
      </c>
      <c r="G667">
        <v>249.68053464680824</v>
      </c>
      <c r="H667">
        <v>255.8832339489571</v>
      </c>
      <c r="I667">
        <v>273.57645034182599</v>
      </c>
      <c r="J667">
        <v>293.2701202044023</v>
      </c>
      <c r="K667">
        <v>308.78457940228344</v>
      </c>
      <c r="L667">
        <v>371.7703695888855</v>
      </c>
    </row>
    <row r="668" spans="1:12" x14ac:dyDescent="0.25">
      <c r="A668">
        <v>251.61195291142079</v>
      </c>
      <c r="B668">
        <v>262.41823471892167</v>
      </c>
      <c r="C668">
        <v>231.21571454214956</v>
      </c>
      <c r="D668">
        <v>233.60818980248987</v>
      </c>
      <c r="E668">
        <v>273.85928518827524</v>
      </c>
      <c r="F668">
        <v>252.30345130847743</v>
      </c>
      <c r="G668">
        <v>239.80540070690205</v>
      </c>
      <c r="H668">
        <v>257.91897236555917</v>
      </c>
      <c r="I668">
        <v>267.11987130216414</v>
      </c>
      <c r="J668">
        <v>292.52644900704553</v>
      </c>
      <c r="K668">
        <v>313.30798805328516</v>
      </c>
      <c r="L668">
        <v>353.82818013877778</v>
      </c>
    </row>
    <row r="669" spans="1:12" x14ac:dyDescent="0.25">
      <c r="A669">
        <v>235.64858201258039</v>
      </c>
      <c r="B669">
        <v>259.95939143505655</v>
      </c>
      <c r="C669">
        <v>224.97435388189956</v>
      </c>
      <c r="D669">
        <v>221.42342089812973</v>
      </c>
      <c r="E669">
        <v>277.4025833310539</v>
      </c>
      <c r="F669">
        <v>260.50778691017479</v>
      </c>
      <c r="G669">
        <v>252.55200900683323</v>
      </c>
      <c r="H669">
        <v>255.02092540942843</v>
      </c>
      <c r="I669">
        <v>277.22865971648747</v>
      </c>
      <c r="J669">
        <v>301.57168462140402</v>
      </c>
      <c r="K669">
        <v>304.81736143970011</v>
      </c>
      <c r="L669">
        <v>357.39833885381881</v>
      </c>
    </row>
    <row r="670" spans="1:12" x14ac:dyDescent="0.25">
      <c r="A670">
        <v>251.73391327917969</v>
      </c>
      <c r="B670">
        <v>248.42744855814169</v>
      </c>
      <c r="C670">
        <v>222.38821261843395</v>
      </c>
      <c r="D670">
        <v>245.47206059425409</v>
      </c>
      <c r="E670">
        <v>278.81585898309299</v>
      </c>
      <c r="F670">
        <v>248.66999124046507</v>
      </c>
      <c r="G670">
        <v>257.09463383535348</v>
      </c>
      <c r="H670">
        <v>271.41495955945254</v>
      </c>
      <c r="I670">
        <v>304.31367831073646</v>
      </c>
      <c r="J670">
        <v>322.90818122273441</v>
      </c>
      <c r="K670">
        <v>311.08610443649292</v>
      </c>
      <c r="L670">
        <v>390.10750459965124</v>
      </c>
    </row>
    <row r="671" spans="1:12" x14ac:dyDescent="0.25">
      <c r="A671">
        <v>250.54016605025674</v>
      </c>
      <c r="B671">
        <v>272.44074128612152</v>
      </c>
      <c r="C671">
        <v>250.12964709948758</v>
      </c>
      <c r="D671">
        <v>249.6491271998639</v>
      </c>
      <c r="E671">
        <v>285.39356799911354</v>
      </c>
      <c r="F671">
        <v>259.09881861910446</v>
      </c>
      <c r="G671">
        <v>273.9151265725053</v>
      </c>
      <c r="H671">
        <v>277.97375451398136</v>
      </c>
      <c r="I671">
        <v>299.9383185303472</v>
      </c>
      <c r="J671">
        <v>296.68547241158495</v>
      </c>
      <c r="K671">
        <v>336.21267083366229</v>
      </c>
      <c r="L671">
        <v>374.66782205225059</v>
      </c>
    </row>
    <row r="672" spans="1:12" x14ac:dyDescent="0.25">
      <c r="A672">
        <v>234.23645072274834</v>
      </c>
      <c r="B672">
        <v>244.72899938429973</v>
      </c>
      <c r="C672">
        <v>236.84280449570431</v>
      </c>
      <c r="D672">
        <v>227.74274702116853</v>
      </c>
      <c r="E672">
        <v>261.15841616150766</v>
      </c>
      <c r="F672">
        <v>229.80598196331943</v>
      </c>
      <c r="G672">
        <v>240.65246751089143</v>
      </c>
      <c r="H672">
        <v>241.76460673586917</v>
      </c>
      <c r="I672">
        <v>275.10918364646511</v>
      </c>
      <c r="J672">
        <v>267.4986511918882</v>
      </c>
      <c r="K672">
        <v>289.66128290902725</v>
      </c>
      <c r="L672">
        <v>331.58695235765492</v>
      </c>
    </row>
    <row r="673" spans="1:12" x14ac:dyDescent="0.25">
      <c r="A673">
        <v>252.44110512100966</v>
      </c>
      <c r="B673">
        <v>248.20855062581259</v>
      </c>
      <c r="C673">
        <v>239.53379523519874</v>
      </c>
      <c r="D673">
        <v>243.57221019107732</v>
      </c>
      <c r="E673">
        <v>266.31537676960767</v>
      </c>
      <c r="F673">
        <v>231.58869926502024</v>
      </c>
      <c r="G673">
        <v>254.76674852943532</v>
      </c>
      <c r="H673">
        <v>273.30536650389746</v>
      </c>
      <c r="I673">
        <v>282.99167723931396</v>
      </c>
      <c r="J673">
        <v>289.13699605054734</v>
      </c>
      <c r="K673">
        <v>304.31100424036117</v>
      </c>
      <c r="L673">
        <v>358.60904971706617</v>
      </c>
    </row>
    <row r="674" spans="1:12" x14ac:dyDescent="0.25">
      <c r="A674">
        <v>254.71751054486487</v>
      </c>
      <c r="B674">
        <v>265.80209551574586</v>
      </c>
      <c r="C674">
        <v>236.91596722127443</v>
      </c>
      <c r="D674">
        <v>239.30578345441234</v>
      </c>
      <c r="E674">
        <v>278.00807720821314</v>
      </c>
      <c r="F674">
        <v>247.53284164810972</v>
      </c>
      <c r="G674">
        <v>259.93893743935394</v>
      </c>
      <c r="H674">
        <v>277.36331795313185</v>
      </c>
      <c r="I674">
        <v>293.63677674094947</v>
      </c>
      <c r="J674">
        <v>305.81848733418582</v>
      </c>
      <c r="K674">
        <v>313.75175242185605</v>
      </c>
      <c r="L674">
        <v>362.12357554268306</v>
      </c>
    </row>
    <row r="675" spans="1:12" x14ac:dyDescent="0.25">
      <c r="A675">
        <v>234.34897692129542</v>
      </c>
      <c r="B675">
        <v>258.78470999288584</v>
      </c>
      <c r="C675">
        <v>221.38200564337046</v>
      </c>
      <c r="D675">
        <v>234.10933347085134</v>
      </c>
      <c r="E675">
        <v>286.7950887039591</v>
      </c>
      <c r="F675">
        <v>233.09379388722189</v>
      </c>
      <c r="G675">
        <v>236.04319517888172</v>
      </c>
      <c r="H675">
        <v>269.44529255678333</v>
      </c>
      <c r="I675">
        <v>274.13366324378489</v>
      </c>
      <c r="J675">
        <v>302.26311850544676</v>
      </c>
      <c r="K675">
        <v>310.97850082507802</v>
      </c>
      <c r="L675">
        <v>387.88911375795232</v>
      </c>
    </row>
    <row r="676" spans="1:12" x14ac:dyDescent="0.25">
      <c r="A676">
        <v>234.04332331342923</v>
      </c>
      <c r="B676">
        <v>267.27229187089591</v>
      </c>
      <c r="C676">
        <v>231.09565505295845</v>
      </c>
      <c r="D676">
        <v>234.38601750233784</v>
      </c>
      <c r="E676">
        <v>286.9718454439203</v>
      </c>
      <c r="F676">
        <v>229.63437300324432</v>
      </c>
      <c r="G676">
        <v>244.15716327733875</v>
      </c>
      <c r="H676">
        <v>241.18009016153772</v>
      </c>
      <c r="I676">
        <v>266.01856472200893</v>
      </c>
      <c r="J676">
        <v>270.72175448666275</v>
      </c>
      <c r="K676">
        <v>282.73052507102443</v>
      </c>
      <c r="L676">
        <v>319.68942036147558</v>
      </c>
    </row>
    <row r="677" spans="1:12" x14ac:dyDescent="0.25">
      <c r="A677">
        <v>237.03452935049302</v>
      </c>
      <c r="B677">
        <v>260.23008539657161</v>
      </c>
      <c r="C677">
        <v>230.04351180759105</v>
      </c>
      <c r="D677">
        <v>234.62933159850166</v>
      </c>
      <c r="E677">
        <v>274.37512139644139</v>
      </c>
      <c r="F677">
        <v>252.70626151506832</v>
      </c>
      <c r="G677">
        <v>267.3388069749073</v>
      </c>
      <c r="H677">
        <v>261.35800795677017</v>
      </c>
      <c r="I677">
        <v>288.61353349285633</v>
      </c>
      <c r="J677">
        <v>309.50537799912206</v>
      </c>
      <c r="K677">
        <v>314.61664431355138</v>
      </c>
      <c r="L677">
        <v>371.88489708054271</v>
      </c>
    </row>
    <row r="678" spans="1:12" x14ac:dyDescent="0.25">
      <c r="A678">
        <v>241.42208293438537</v>
      </c>
      <c r="B678">
        <v>271.41414782694068</v>
      </c>
      <c r="C678">
        <v>251.39681942346331</v>
      </c>
      <c r="D678">
        <v>270.79483761978116</v>
      </c>
      <c r="E678">
        <v>293.71419310715163</v>
      </c>
      <c r="F678">
        <v>266.52968355484046</v>
      </c>
      <c r="G678">
        <v>258.68870444969599</v>
      </c>
      <c r="H678">
        <v>285.2394326083508</v>
      </c>
      <c r="I678">
        <v>297.44213534584929</v>
      </c>
      <c r="J678">
        <v>322.05538285653063</v>
      </c>
      <c r="K678">
        <v>333.9554072989888</v>
      </c>
      <c r="L678">
        <v>423.31517634015512</v>
      </c>
    </row>
    <row r="679" spans="1:12" x14ac:dyDescent="0.25">
      <c r="A679">
        <v>246.45743390450113</v>
      </c>
      <c r="B679">
        <v>264.02566996060568</v>
      </c>
      <c r="C679">
        <v>239.65050382892113</v>
      </c>
      <c r="D679">
        <v>247.64217682956962</v>
      </c>
      <c r="E679">
        <v>281.66747927013267</v>
      </c>
      <c r="F679">
        <v>256.51728066178737</v>
      </c>
      <c r="G679">
        <v>248.10270000628105</v>
      </c>
      <c r="H679">
        <v>246.12176289674528</v>
      </c>
      <c r="I679">
        <v>266.18542194670943</v>
      </c>
      <c r="J679">
        <v>278.36441649461369</v>
      </c>
      <c r="K679">
        <v>296.93156716858596</v>
      </c>
      <c r="L679">
        <v>353.41314627665594</v>
      </c>
    </row>
    <row r="680" spans="1:12" x14ac:dyDescent="0.25">
      <c r="A680">
        <v>244.85148154640561</v>
      </c>
      <c r="B680">
        <v>266.79787885882712</v>
      </c>
      <c r="C680">
        <v>238.28688473140716</v>
      </c>
      <c r="D680">
        <v>233.22396975319367</v>
      </c>
      <c r="E680">
        <v>302.7239452234183</v>
      </c>
      <c r="F680">
        <v>258.9166214627337</v>
      </c>
      <c r="G680">
        <v>269.10915428465074</v>
      </c>
      <c r="H680">
        <v>281.58200652112163</v>
      </c>
      <c r="I680">
        <v>307.51432788485607</v>
      </c>
      <c r="J680">
        <v>304.55553516553636</v>
      </c>
      <c r="K680">
        <v>330.27855474552376</v>
      </c>
      <c r="L680">
        <v>391.06984208484658</v>
      </c>
    </row>
    <row r="681" spans="1:12" x14ac:dyDescent="0.25">
      <c r="A681">
        <v>250.81772116523371</v>
      </c>
      <c r="B681">
        <v>262.01593572404352</v>
      </c>
      <c r="C681">
        <v>238.11851262237343</v>
      </c>
      <c r="D681">
        <v>240.21150123277778</v>
      </c>
      <c r="E681">
        <v>276.56125621136778</v>
      </c>
      <c r="F681">
        <v>255.59571468192118</v>
      </c>
      <c r="G681">
        <v>249.75845478630092</v>
      </c>
      <c r="H681">
        <v>257.09003718805582</v>
      </c>
      <c r="I681">
        <v>287.11879940547726</v>
      </c>
      <c r="J681">
        <v>293.60455945988099</v>
      </c>
      <c r="K681">
        <v>296.91062313399914</v>
      </c>
      <c r="L681">
        <v>360.76146593459481</v>
      </c>
    </row>
    <row r="682" spans="1:12" x14ac:dyDescent="0.25">
      <c r="A682">
        <v>226.62812253247532</v>
      </c>
      <c r="B682">
        <v>264.18987029658564</v>
      </c>
      <c r="C682">
        <v>251.287254224149</v>
      </c>
      <c r="D682">
        <v>254.51886864885753</v>
      </c>
      <c r="E682">
        <v>284.78023160193612</v>
      </c>
      <c r="F682">
        <v>269.97601564259082</v>
      </c>
      <c r="G682">
        <v>287.95940864164686</v>
      </c>
      <c r="H682">
        <v>269.02374123123548</v>
      </c>
      <c r="I682">
        <v>306.93050250269522</v>
      </c>
      <c r="J682">
        <v>322.28839999016583</v>
      </c>
      <c r="K682">
        <v>357.46888331276648</v>
      </c>
      <c r="L682">
        <v>406.54501271193504</v>
      </c>
    </row>
    <row r="683" spans="1:12" x14ac:dyDescent="0.25">
      <c r="A683">
        <v>243.28193802902695</v>
      </c>
      <c r="B683">
        <v>262.08572167680722</v>
      </c>
      <c r="C683">
        <v>255.38077193075216</v>
      </c>
      <c r="D683">
        <v>254.35287190501515</v>
      </c>
      <c r="E683">
        <v>285.66231018036825</v>
      </c>
      <c r="F683">
        <v>252.6971578849334</v>
      </c>
      <c r="G683">
        <v>263.52983997309468</v>
      </c>
      <c r="H683">
        <v>256.84431180499791</v>
      </c>
      <c r="I683">
        <v>273.34117824909077</v>
      </c>
      <c r="J683">
        <v>288.97202557794816</v>
      </c>
      <c r="K683">
        <v>298.65084118075998</v>
      </c>
      <c r="L683">
        <v>352.03725840526761</v>
      </c>
    </row>
    <row r="684" spans="1:12" x14ac:dyDescent="0.25">
      <c r="A684">
        <v>250.96582844803345</v>
      </c>
      <c r="B684">
        <v>275.36413718794188</v>
      </c>
      <c r="C684">
        <v>255.49782612830663</v>
      </c>
      <c r="D684">
        <v>266.37483018208019</v>
      </c>
      <c r="E684">
        <v>301.98024050378774</v>
      </c>
      <c r="F684">
        <v>278.6284630369293</v>
      </c>
      <c r="G684">
        <v>281.25634311841776</v>
      </c>
      <c r="H684">
        <v>288.20165421980914</v>
      </c>
      <c r="I684">
        <v>312.7261912985976</v>
      </c>
      <c r="J684">
        <v>343.2577571737051</v>
      </c>
      <c r="K684">
        <v>368.59014765824924</v>
      </c>
      <c r="L684">
        <v>420.93105387098296</v>
      </c>
    </row>
    <row r="685" spans="1:12" x14ac:dyDescent="0.25">
      <c r="A685">
        <v>266.40330474669872</v>
      </c>
      <c r="B685">
        <v>271.6041803845128</v>
      </c>
      <c r="C685">
        <v>261.88322983343312</v>
      </c>
      <c r="D685">
        <v>276.92381212441006</v>
      </c>
      <c r="E685">
        <v>309.80164144915415</v>
      </c>
      <c r="F685">
        <v>276.59135177983597</v>
      </c>
      <c r="G685">
        <v>299.72710880741596</v>
      </c>
      <c r="H685">
        <v>272.53651350783895</v>
      </c>
      <c r="I685">
        <v>332.67975782222453</v>
      </c>
      <c r="J685">
        <v>339.80006550542612</v>
      </c>
      <c r="K685">
        <v>350.26641021013091</v>
      </c>
      <c r="L685">
        <v>410.73618603022948</v>
      </c>
    </row>
    <row r="686" spans="1:12" x14ac:dyDescent="0.25">
      <c r="A686">
        <v>252.1399054272002</v>
      </c>
      <c r="B686">
        <v>269.13702520211484</v>
      </c>
      <c r="C686">
        <v>270.47175904381118</v>
      </c>
      <c r="D686">
        <v>255.20231689779339</v>
      </c>
      <c r="E686">
        <v>307.03347466867569</v>
      </c>
      <c r="F686">
        <v>271.2327619360197</v>
      </c>
      <c r="G686">
        <v>274.96488808603289</v>
      </c>
      <c r="H686">
        <v>277.88173245113433</v>
      </c>
      <c r="I686">
        <v>309.86940636177656</v>
      </c>
      <c r="J686">
        <v>330.97760066286565</v>
      </c>
      <c r="K686">
        <v>336.68701271193368</v>
      </c>
      <c r="L686">
        <v>410.33957028579016</v>
      </c>
    </row>
    <row r="687" spans="1:12" x14ac:dyDescent="0.25">
      <c r="A687">
        <v>237.96068042182398</v>
      </c>
      <c r="B687">
        <v>264.64384462868082</v>
      </c>
      <c r="C687">
        <v>243.98298616104694</v>
      </c>
      <c r="D687">
        <v>241.05197938241309</v>
      </c>
      <c r="E687">
        <v>292.83187595634149</v>
      </c>
      <c r="F687">
        <v>257.4916320385463</v>
      </c>
      <c r="G687">
        <v>273.41020583741084</v>
      </c>
      <c r="H687">
        <v>269.93958774029994</v>
      </c>
      <c r="I687">
        <v>295.9685341686764</v>
      </c>
      <c r="J687">
        <v>314.42388778360106</v>
      </c>
      <c r="K687">
        <v>335.15877555365466</v>
      </c>
      <c r="L687">
        <v>378.73352891838266</v>
      </c>
    </row>
    <row r="688" spans="1:12" x14ac:dyDescent="0.25">
      <c r="A688">
        <v>248.2608262251604</v>
      </c>
      <c r="B688">
        <v>280.46318125914274</v>
      </c>
      <c r="C688">
        <v>240.89225779446934</v>
      </c>
      <c r="D688">
        <v>243.50040759540747</v>
      </c>
      <c r="E688">
        <v>291.0738653125768</v>
      </c>
      <c r="F688">
        <v>268.43883704010659</v>
      </c>
      <c r="G688">
        <v>274.76880060388095</v>
      </c>
      <c r="H688">
        <v>290.57040214085123</v>
      </c>
      <c r="I688">
        <v>313.78982446472895</v>
      </c>
      <c r="J688">
        <v>314.60830390906455</v>
      </c>
      <c r="K688">
        <v>348.35587730054755</v>
      </c>
      <c r="L688">
        <v>411.62981048708542</v>
      </c>
    </row>
    <row r="689" spans="1:12" x14ac:dyDescent="0.25">
      <c r="A689">
        <v>222.49671989342079</v>
      </c>
      <c r="B689">
        <v>252.24214427399835</v>
      </c>
      <c r="C689">
        <v>256.2331795270336</v>
      </c>
      <c r="D689">
        <v>263.19889898680003</v>
      </c>
      <c r="E689">
        <v>284.21010397193697</v>
      </c>
      <c r="F689">
        <v>259.84053881347842</v>
      </c>
      <c r="G689">
        <v>259.1075941741845</v>
      </c>
      <c r="H689">
        <v>287.21865090991463</v>
      </c>
      <c r="I689">
        <v>289.17466987651159</v>
      </c>
      <c r="J689">
        <v>328.06733533512408</v>
      </c>
      <c r="K689">
        <v>313.20416261219606</v>
      </c>
      <c r="L689">
        <v>372.05774931796742</v>
      </c>
    </row>
    <row r="690" spans="1:12" x14ac:dyDescent="0.25">
      <c r="A690">
        <v>252.77647111169449</v>
      </c>
      <c r="B690">
        <v>272.94198714967132</v>
      </c>
      <c r="C690">
        <v>250.22379917400644</v>
      </c>
      <c r="D690">
        <v>249.36397981926305</v>
      </c>
      <c r="E690">
        <v>285.72531290421972</v>
      </c>
      <c r="F690">
        <v>252.19738460491166</v>
      </c>
      <c r="G690">
        <v>250.48870476740072</v>
      </c>
      <c r="H690">
        <v>260.38599011655725</v>
      </c>
      <c r="I690">
        <v>296.58213401901327</v>
      </c>
      <c r="J690">
        <v>299.73192820251529</v>
      </c>
      <c r="K690">
        <v>329.18173164313981</v>
      </c>
      <c r="L690">
        <v>367.9489571676969</v>
      </c>
    </row>
    <row r="691" spans="1:12" x14ac:dyDescent="0.25">
      <c r="A691">
        <v>242.44173183523412</v>
      </c>
      <c r="B691">
        <v>280.86993026882737</v>
      </c>
      <c r="C691">
        <v>249.40902287671008</v>
      </c>
      <c r="D691">
        <v>250.98705603654159</v>
      </c>
      <c r="E691">
        <v>284.31159206417999</v>
      </c>
      <c r="F691">
        <v>263.00914242170717</v>
      </c>
      <c r="G691">
        <v>276.61085349030407</v>
      </c>
      <c r="H691">
        <v>282.3209973622802</v>
      </c>
      <c r="I691">
        <v>319.41953015177631</v>
      </c>
      <c r="J691">
        <v>335.08454657978467</v>
      </c>
      <c r="K691">
        <v>343.75593127368791</v>
      </c>
      <c r="L691">
        <v>427.69741352288077</v>
      </c>
    </row>
    <row r="692" spans="1:12" x14ac:dyDescent="0.25">
      <c r="A692">
        <v>244.54588308266352</v>
      </c>
      <c r="B692">
        <v>250.17149553577653</v>
      </c>
      <c r="C692">
        <v>226.49718163577546</v>
      </c>
      <c r="D692">
        <v>229.74753204740409</v>
      </c>
      <c r="E692">
        <v>269.78747825613738</v>
      </c>
      <c r="F692">
        <v>232.11738769919731</v>
      </c>
      <c r="G692">
        <v>232.7352577084163</v>
      </c>
      <c r="H692">
        <v>232.46213383439351</v>
      </c>
      <c r="I692">
        <v>243.31498887856398</v>
      </c>
      <c r="J692">
        <v>256.48040926871971</v>
      </c>
      <c r="K692">
        <v>281.15991496205191</v>
      </c>
      <c r="L692">
        <v>311.65760608980031</v>
      </c>
    </row>
    <row r="693" spans="1:12" x14ac:dyDescent="0.25">
      <c r="A693">
        <v>242.77115197196315</v>
      </c>
      <c r="B693">
        <v>266.2983488156205</v>
      </c>
      <c r="C693">
        <v>256.31957725617025</v>
      </c>
      <c r="D693">
        <v>239.55963058262816</v>
      </c>
      <c r="E693">
        <v>291.10609466027472</v>
      </c>
      <c r="F693">
        <v>241.8231866212918</v>
      </c>
      <c r="G693">
        <v>265.33312828923215</v>
      </c>
      <c r="H693">
        <v>261.65195572233711</v>
      </c>
      <c r="I693">
        <v>296.65223643463111</v>
      </c>
      <c r="J693">
        <v>307.38232499258157</v>
      </c>
      <c r="K693">
        <v>324.67614176277988</v>
      </c>
      <c r="L693">
        <v>381.54992829664997</v>
      </c>
    </row>
    <row r="694" spans="1:12" x14ac:dyDescent="0.25">
      <c r="A694">
        <v>249.25675861676223</v>
      </c>
      <c r="B694">
        <v>278.43428460340147</v>
      </c>
      <c r="C694">
        <v>256.52918523061243</v>
      </c>
      <c r="D694">
        <v>241.27628353418942</v>
      </c>
      <c r="E694">
        <v>285.48901288520506</v>
      </c>
      <c r="F694">
        <v>272.56698156265116</v>
      </c>
      <c r="G694">
        <v>265.91930865673692</v>
      </c>
      <c r="H694">
        <v>271.47497939374767</v>
      </c>
      <c r="I694">
        <v>323.82106953800985</v>
      </c>
      <c r="J694">
        <v>313.08197719050554</v>
      </c>
      <c r="K694">
        <v>329.26991247343221</v>
      </c>
      <c r="L694">
        <v>396.95811336568261</v>
      </c>
    </row>
    <row r="695" spans="1:12" x14ac:dyDescent="0.25">
      <c r="A695">
        <v>253.97291350083739</v>
      </c>
      <c r="B695">
        <v>250.10075739815278</v>
      </c>
      <c r="C695">
        <v>230.16155443069727</v>
      </c>
      <c r="D695">
        <v>234.21331278007091</v>
      </c>
      <c r="E695">
        <v>297.17904061046943</v>
      </c>
      <c r="F695">
        <v>235.98071611547891</v>
      </c>
      <c r="G695">
        <v>247.29477872982517</v>
      </c>
      <c r="H695">
        <v>255.61482941632221</v>
      </c>
      <c r="I695">
        <v>270.41827900733205</v>
      </c>
      <c r="J695">
        <v>272.08650855828853</v>
      </c>
      <c r="K695">
        <v>288.35450515994864</v>
      </c>
      <c r="L695">
        <v>331.83276521260825</v>
      </c>
    </row>
    <row r="696" spans="1:12" x14ac:dyDescent="0.25">
      <c r="A696">
        <v>254.4971799183914</v>
      </c>
      <c r="B696">
        <v>282.18159848207284</v>
      </c>
      <c r="C696">
        <v>243.57321953656231</v>
      </c>
      <c r="D696">
        <v>237.93364377424314</v>
      </c>
      <c r="E696">
        <v>287.52713167236914</v>
      </c>
      <c r="F696">
        <v>248.7653789857136</v>
      </c>
      <c r="G696">
        <v>271.04485916677118</v>
      </c>
      <c r="H696">
        <v>272.22189995544949</v>
      </c>
      <c r="I696">
        <v>292.64997689442657</v>
      </c>
      <c r="J696">
        <v>329.22880374461835</v>
      </c>
      <c r="K696">
        <v>318.2954112362338</v>
      </c>
      <c r="L696">
        <v>379.61929458043119</v>
      </c>
    </row>
    <row r="697" spans="1:12" x14ac:dyDescent="0.25">
      <c r="A697">
        <v>243.8274019764909</v>
      </c>
      <c r="B697">
        <v>245.8051426910454</v>
      </c>
      <c r="C697">
        <v>235.2044907717422</v>
      </c>
      <c r="D697">
        <v>226.13004143316499</v>
      </c>
      <c r="E697">
        <v>264.28131318773137</v>
      </c>
      <c r="F697">
        <v>223.22479745210066</v>
      </c>
      <c r="G697">
        <v>234.95380664714415</v>
      </c>
      <c r="H697">
        <v>247.59463721940082</v>
      </c>
      <c r="I697">
        <v>250.38869303871141</v>
      </c>
      <c r="J697">
        <v>239.42985023315381</v>
      </c>
      <c r="K697">
        <v>263.9067060748576</v>
      </c>
      <c r="L697">
        <v>318.02205194333874</v>
      </c>
    </row>
    <row r="698" spans="1:12" x14ac:dyDescent="0.25">
      <c r="A698">
        <v>251.24765424261975</v>
      </c>
      <c r="B698">
        <v>273.82759445804788</v>
      </c>
      <c r="C698">
        <v>258.3887906869893</v>
      </c>
      <c r="D698">
        <v>253.80128049540801</v>
      </c>
      <c r="E698">
        <v>296.36544719381226</v>
      </c>
      <c r="F698">
        <v>255.27397676096822</v>
      </c>
      <c r="G698">
        <v>288.46415767485564</v>
      </c>
      <c r="H698">
        <v>289.14684619525497</v>
      </c>
      <c r="I698">
        <v>328.65272265091204</v>
      </c>
      <c r="J698">
        <v>338.25434737373013</v>
      </c>
      <c r="K698">
        <v>368.71874734753959</v>
      </c>
      <c r="L698">
        <v>407.52277553034452</v>
      </c>
    </row>
    <row r="699" spans="1:12" x14ac:dyDescent="0.25">
      <c r="A699">
        <v>250.06451903956992</v>
      </c>
      <c r="B699">
        <v>266.98252755781039</v>
      </c>
      <c r="C699">
        <v>231.70750197357788</v>
      </c>
      <c r="D699">
        <v>243.5425281361687</v>
      </c>
      <c r="E699">
        <v>276.94126177570837</v>
      </c>
      <c r="F699">
        <v>244.8573677648842</v>
      </c>
      <c r="G699">
        <v>271.16068273766496</v>
      </c>
      <c r="H699">
        <v>258.73332547470994</v>
      </c>
      <c r="I699">
        <v>269.71487473692508</v>
      </c>
      <c r="J699">
        <v>309.27125610331672</v>
      </c>
      <c r="K699">
        <v>323.57790880409959</v>
      </c>
      <c r="L699">
        <v>380.40792542756373</v>
      </c>
    </row>
    <row r="700" spans="1:12" x14ac:dyDescent="0.25">
      <c r="A700">
        <v>252.8297055549348</v>
      </c>
      <c r="B700">
        <v>256.58823550512477</v>
      </c>
      <c r="C700">
        <v>255.4460783118447</v>
      </c>
      <c r="D700">
        <v>249.12496274438135</v>
      </c>
      <c r="E700">
        <v>293.61328158110678</v>
      </c>
      <c r="F700">
        <v>247.93273676204615</v>
      </c>
      <c r="G700">
        <v>259.84330589214852</v>
      </c>
      <c r="H700">
        <v>273.8412535446476</v>
      </c>
      <c r="I700">
        <v>288.93243455367252</v>
      </c>
      <c r="J700">
        <v>298.24311592213883</v>
      </c>
      <c r="K700">
        <v>311.46563252496838</v>
      </c>
      <c r="L700">
        <v>373.35428442897023</v>
      </c>
    </row>
    <row r="701" spans="1:12" x14ac:dyDescent="0.25">
      <c r="A701">
        <v>252.84092450129137</v>
      </c>
      <c r="B701">
        <v>270.67722402359396</v>
      </c>
      <c r="C701">
        <v>240.63325921570922</v>
      </c>
      <c r="D701">
        <v>243.63518240131259</v>
      </c>
      <c r="E701">
        <v>282.19174702475681</v>
      </c>
      <c r="F701">
        <v>257.00138433242398</v>
      </c>
      <c r="G701">
        <v>245.94873986250479</v>
      </c>
      <c r="H701">
        <v>257.91552513167176</v>
      </c>
      <c r="I701">
        <v>279.72116420786853</v>
      </c>
      <c r="J701">
        <v>298.71208800109457</v>
      </c>
      <c r="K701">
        <v>318.91548155020769</v>
      </c>
      <c r="L701">
        <v>365.60710096341182</v>
      </c>
    </row>
    <row r="702" spans="1:12" x14ac:dyDescent="0.25">
      <c r="A702">
        <v>249.93844636485312</v>
      </c>
      <c r="B702">
        <v>258.6766585424686</v>
      </c>
      <c r="C702">
        <v>250.20796799012496</v>
      </c>
      <c r="D702">
        <v>266.29911042867371</v>
      </c>
      <c r="E702">
        <v>297.21768248499126</v>
      </c>
      <c r="F702">
        <v>266.02715445115916</v>
      </c>
      <c r="G702">
        <v>272.55116264931348</v>
      </c>
      <c r="H702">
        <v>273.54065675343838</v>
      </c>
      <c r="I702">
        <v>317.32716227959759</v>
      </c>
      <c r="J702">
        <v>321.89600788687193</v>
      </c>
      <c r="K702">
        <v>340.6021696814762</v>
      </c>
      <c r="L702">
        <v>408.67642356680057</v>
      </c>
    </row>
    <row r="703" spans="1:12" x14ac:dyDescent="0.25">
      <c r="A703">
        <v>243.22467890818868</v>
      </c>
      <c r="B703">
        <v>269.10393339149437</v>
      </c>
      <c r="C703">
        <v>240.22319928048248</v>
      </c>
      <c r="D703">
        <v>242.79733545258907</v>
      </c>
      <c r="E703">
        <v>291.13369943735819</v>
      </c>
      <c r="F703">
        <v>255.30105374501579</v>
      </c>
      <c r="G703">
        <v>261.00444847193631</v>
      </c>
      <c r="H703">
        <v>284.98981355722617</v>
      </c>
      <c r="I703">
        <v>293.21924600190937</v>
      </c>
      <c r="J703">
        <v>321.01964808904779</v>
      </c>
      <c r="K703">
        <v>328.90194289720068</v>
      </c>
      <c r="L703">
        <v>389.13637484266275</v>
      </c>
    </row>
    <row r="704" spans="1:12" x14ac:dyDescent="0.25">
      <c r="A704">
        <v>246.30577042193698</v>
      </c>
      <c r="B704">
        <v>247.04379894224741</v>
      </c>
      <c r="C704">
        <v>259.10492885652508</v>
      </c>
      <c r="D704">
        <v>240.89315969966674</v>
      </c>
      <c r="E704">
        <v>269.37264592857491</v>
      </c>
      <c r="F704">
        <v>243.86875074132263</v>
      </c>
      <c r="G704">
        <v>252.49239812681478</v>
      </c>
      <c r="H704">
        <v>261.64344721485782</v>
      </c>
      <c r="I704">
        <v>272.6520150283522</v>
      </c>
      <c r="J704">
        <v>296.72408136502793</v>
      </c>
      <c r="K704">
        <v>303.64443170226974</v>
      </c>
      <c r="L704">
        <v>349.94716491927034</v>
      </c>
    </row>
    <row r="705" spans="1:12" x14ac:dyDescent="0.25">
      <c r="A705">
        <v>231.00186145505322</v>
      </c>
      <c r="B705">
        <v>256.33353881581513</v>
      </c>
      <c r="C705">
        <v>241.04062023634907</v>
      </c>
      <c r="D705">
        <v>240.64821464024598</v>
      </c>
      <c r="E705">
        <v>278.45666109273299</v>
      </c>
      <c r="F705">
        <v>243.88185959943948</v>
      </c>
      <c r="G705">
        <v>251.08866205115797</v>
      </c>
      <c r="H705">
        <v>254.79734151217852</v>
      </c>
      <c r="I705">
        <v>269.8759688116549</v>
      </c>
      <c r="J705">
        <v>306.61346331350768</v>
      </c>
      <c r="K705">
        <v>307.31456934064317</v>
      </c>
      <c r="L705">
        <v>354.34636033912113</v>
      </c>
    </row>
    <row r="706" spans="1:12" x14ac:dyDescent="0.25">
      <c r="A706">
        <v>252.67910400414431</v>
      </c>
      <c r="B706">
        <v>270.74134098105816</v>
      </c>
      <c r="C706">
        <v>245.24389402098075</v>
      </c>
      <c r="D706">
        <v>251.63327519530722</v>
      </c>
      <c r="E706">
        <v>297.08284192722459</v>
      </c>
      <c r="F706">
        <v>273.21182306647347</v>
      </c>
      <c r="G706">
        <v>261.44200381964424</v>
      </c>
      <c r="H706">
        <v>277.55995057412599</v>
      </c>
      <c r="I706">
        <v>301.55919984247134</v>
      </c>
      <c r="J706">
        <v>303.45378106031029</v>
      </c>
      <c r="K706">
        <v>331.10446264634913</v>
      </c>
      <c r="L706">
        <v>398.87566520518277</v>
      </c>
    </row>
    <row r="707" spans="1:12" x14ac:dyDescent="0.25">
      <c r="A707">
        <v>236.88318117691969</v>
      </c>
      <c r="B707">
        <v>274.02143900465592</v>
      </c>
      <c r="C707">
        <v>248.8672974519431</v>
      </c>
      <c r="D707">
        <v>249.72548022914495</v>
      </c>
      <c r="E707">
        <v>298.07556399245965</v>
      </c>
      <c r="F707">
        <v>263.99834061001269</v>
      </c>
      <c r="G707">
        <v>279.05504077724413</v>
      </c>
      <c r="H707">
        <v>274.72886522444009</v>
      </c>
      <c r="I707">
        <v>310.62778106353943</v>
      </c>
      <c r="J707">
        <v>331.74498997315516</v>
      </c>
      <c r="K707">
        <v>332.159156325673</v>
      </c>
      <c r="L707">
        <v>409.45065765933276</v>
      </c>
    </row>
    <row r="708" spans="1:12" x14ac:dyDescent="0.25">
      <c r="A708">
        <v>254.31399893630044</v>
      </c>
      <c r="B708">
        <v>268.30505913450617</v>
      </c>
      <c r="C708">
        <v>242.55710139157509</v>
      </c>
      <c r="D708">
        <v>239.75597283421175</v>
      </c>
      <c r="E708">
        <v>282.29764807529784</v>
      </c>
      <c r="F708">
        <v>262.29514950365621</v>
      </c>
      <c r="G708">
        <v>260.32291362836128</v>
      </c>
      <c r="H708">
        <v>257.70376221735853</v>
      </c>
      <c r="I708">
        <v>308.96345601366812</v>
      </c>
      <c r="J708">
        <v>305.43084383845127</v>
      </c>
      <c r="K708">
        <v>332.76432363742322</v>
      </c>
      <c r="L708">
        <v>400.06202156241699</v>
      </c>
    </row>
    <row r="709" spans="1:12" x14ac:dyDescent="0.25">
      <c r="A709">
        <v>246.30843854013619</v>
      </c>
      <c r="B709">
        <v>269.75755491330722</v>
      </c>
      <c r="C709">
        <v>236.80397914233322</v>
      </c>
      <c r="D709">
        <v>226.21679486830746</v>
      </c>
      <c r="E709">
        <v>273.27591658126892</v>
      </c>
      <c r="F709">
        <v>252.12058741899864</v>
      </c>
      <c r="G709">
        <v>250.36204957124269</v>
      </c>
      <c r="H709">
        <v>251.40360648393892</v>
      </c>
      <c r="I709">
        <v>251.34045786188716</v>
      </c>
      <c r="J709">
        <v>281.83394801331724</v>
      </c>
      <c r="K709">
        <v>281.8585384845025</v>
      </c>
      <c r="L709">
        <v>335.08791792617922</v>
      </c>
    </row>
    <row r="710" spans="1:12" x14ac:dyDescent="0.25">
      <c r="A710">
        <v>238.77196800657941</v>
      </c>
      <c r="B710">
        <v>260.98825489027513</v>
      </c>
      <c r="C710">
        <v>255.33978715068528</v>
      </c>
      <c r="D710">
        <v>256.74679738944923</v>
      </c>
      <c r="E710">
        <v>287.3921057602127</v>
      </c>
      <c r="F710">
        <v>258.75498391428999</v>
      </c>
      <c r="G710">
        <v>266.99832807720009</v>
      </c>
      <c r="H710">
        <v>273.46221758606532</v>
      </c>
      <c r="I710">
        <v>299.18080433173503</v>
      </c>
      <c r="J710">
        <v>318.05387519013834</v>
      </c>
      <c r="K710">
        <v>330.42259002616424</v>
      </c>
      <c r="L710">
        <v>396.33193995063942</v>
      </c>
    </row>
    <row r="711" spans="1:12" x14ac:dyDescent="0.25">
      <c r="A711">
        <v>248.54389461156089</v>
      </c>
      <c r="B711">
        <v>260.77306053238522</v>
      </c>
      <c r="C711">
        <v>252.70208244030982</v>
      </c>
      <c r="D711">
        <v>260.83240502453629</v>
      </c>
      <c r="E711">
        <v>291.58931617833258</v>
      </c>
      <c r="F711">
        <v>274.36084063715259</v>
      </c>
      <c r="G711">
        <v>278.37527201397268</v>
      </c>
      <c r="H711">
        <v>276.63603053470547</v>
      </c>
      <c r="I711">
        <v>320.60272526052194</v>
      </c>
      <c r="J711">
        <v>344.45100893539325</v>
      </c>
      <c r="K711">
        <v>355.44668041181484</v>
      </c>
      <c r="L711">
        <v>436.11719947318551</v>
      </c>
    </row>
    <row r="712" spans="1:12" x14ac:dyDescent="0.25">
      <c r="A712">
        <v>255.28969708963726</v>
      </c>
      <c r="B712">
        <v>269.40443463854524</v>
      </c>
      <c r="C712">
        <v>254.27494440301194</v>
      </c>
      <c r="D712">
        <v>238.05470011220865</v>
      </c>
      <c r="E712">
        <v>282.77166719409195</v>
      </c>
      <c r="F712">
        <v>260.33443151561301</v>
      </c>
      <c r="G712">
        <v>255.43840083256117</v>
      </c>
      <c r="H712">
        <v>268.46519823642092</v>
      </c>
      <c r="I712">
        <v>299.53082535003028</v>
      </c>
      <c r="J712">
        <v>305.75878103650848</v>
      </c>
      <c r="K712">
        <v>316.52728335402185</v>
      </c>
      <c r="L712">
        <v>365.59421689971538</v>
      </c>
    </row>
    <row r="713" spans="1:12" x14ac:dyDescent="0.25">
      <c r="A713">
        <v>257.10381657109332</v>
      </c>
      <c r="B713">
        <v>270.08061655829914</v>
      </c>
      <c r="C713">
        <v>261.6478255797166</v>
      </c>
      <c r="D713">
        <v>247.8559947640002</v>
      </c>
      <c r="E713">
        <v>285.8308025584081</v>
      </c>
      <c r="F713">
        <v>258.50784344935488</v>
      </c>
      <c r="G713">
        <v>296.18828095691168</v>
      </c>
      <c r="H713">
        <v>282.04435998326687</v>
      </c>
      <c r="I713">
        <v>305.94639066115593</v>
      </c>
      <c r="J713">
        <v>320.78803200283818</v>
      </c>
      <c r="K713">
        <v>333.7165563541563</v>
      </c>
      <c r="L713">
        <v>387.19779549510633</v>
      </c>
    </row>
    <row r="714" spans="1:12" x14ac:dyDescent="0.25">
      <c r="A714">
        <v>228.55560213826311</v>
      </c>
      <c r="B714">
        <v>241.15148136310208</v>
      </c>
      <c r="C714">
        <v>241.70645686519555</v>
      </c>
      <c r="D714">
        <v>229.88011700538618</v>
      </c>
      <c r="E714">
        <v>252.72500900350215</v>
      </c>
      <c r="F714">
        <v>256.70314418108217</v>
      </c>
      <c r="G714">
        <v>235.00752866382126</v>
      </c>
      <c r="H714">
        <v>266.88168445198352</v>
      </c>
      <c r="I714">
        <v>271.5304567937784</v>
      </c>
      <c r="J714">
        <v>285.20963597612354</v>
      </c>
      <c r="K714">
        <v>302.37154762641552</v>
      </c>
      <c r="L714">
        <v>340.02303938537614</v>
      </c>
    </row>
    <row r="715" spans="1:12" x14ac:dyDescent="0.25">
      <c r="A715">
        <v>262.98429649623557</v>
      </c>
      <c r="B715">
        <v>269.2360359855515</v>
      </c>
      <c r="C715">
        <v>245.29433312659555</v>
      </c>
      <c r="D715">
        <v>248.24516271831089</v>
      </c>
      <c r="E715">
        <v>299.12606823463011</v>
      </c>
      <c r="F715">
        <v>263.66682108783255</v>
      </c>
      <c r="G715">
        <v>289.82731755732874</v>
      </c>
      <c r="H715">
        <v>297.82125796139985</v>
      </c>
      <c r="I715">
        <v>327.87657444466856</v>
      </c>
      <c r="J715">
        <v>334.67009557797593</v>
      </c>
      <c r="K715">
        <v>355.19310036162108</v>
      </c>
      <c r="L715">
        <v>431.64106383563325</v>
      </c>
    </row>
    <row r="716" spans="1:12" x14ac:dyDescent="0.25">
      <c r="A716">
        <v>239.86120846579544</v>
      </c>
      <c r="B716">
        <v>258.4080071211564</v>
      </c>
      <c r="C716">
        <v>238.79777803572912</v>
      </c>
      <c r="D716">
        <v>236.54190496663603</v>
      </c>
      <c r="E716">
        <v>257.44053419863445</v>
      </c>
      <c r="F716">
        <v>236.91608302814458</v>
      </c>
      <c r="G716">
        <v>234.83251307992339</v>
      </c>
      <c r="H716">
        <v>244.66367641327241</v>
      </c>
      <c r="I716">
        <v>252.34870248869339</v>
      </c>
      <c r="J716">
        <v>254.92127053930818</v>
      </c>
      <c r="K716">
        <v>271.88132072754604</v>
      </c>
      <c r="L716">
        <v>317.13350948962909</v>
      </c>
    </row>
    <row r="717" spans="1:12" x14ac:dyDescent="0.25">
      <c r="A717">
        <v>237.47247234715573</v>
      </c>
      <c r="B717">
        <v>280.76750763679559</v>
      </c>
      <c r="C717">
        <v>252.4244337871786</v>
      </c>
      <c r="D717">
        <v>267.67127651347636</v>
      </c>
      <c r="E717">
        <v>305.98492690174538</v>
      </c>
      <c r="F717">
        <v>279.72938329417406</v>
      </c>
      <c r="G717">
        <v>285.8358484755492</v>
      </c>
      <c r="H717">
        <v>308.17430704442552</v>
      </c>
      <c r="I717">
        <v>336.57330155811127</v>
      </c>
      <c r="J717">
        <v>358.27313846374358</v>
      </c>
      <c r="K717">
        <v>393.06281136173925</v>
      </c>
      <c r="L717">
        <v>476.49777118099814</v>
      </c>
    </row>
    <row r="718" spans="1:12" x14ac:dyDescent="0.25">
      <c r="A718">
        <v>246.46766482011401</v>
      </c>
      <c r="B718">
        <v>247.19385586673388</v>
      </c>
      <c r="C718">
        <v>220.88486752086968</v>
      </c>
      <c r="D718">
        <v>225.41349630668168</v>
      </c>
      <c r="E718">
        <v>267.44677881831234</v>
      </c>
      <c r="F718">
        <v>247.90826085699845</v>
      </c>
      <c r="G718">
        <v>246.51431829816437</v>
      </c>
      <c r="H718">
        <v>248.8256032397513</v>
      </c>
      <c r="I718">
        <v>291.52708622516002</v>
      </c>
      <c r="J718">
        <v>290.45718341994393</v>
      </c>
      <c r="K718">
        <v>297.85290691312633</v>
      </c>
      <c r="L718">
        <v>343.98609892364129</v>
      </c>
    </row>
    <row r="719" spans="1:12" x14ac:dyDescent="0.25">
      <c r="A719">
        <v>241.38006003681261</v>
      </c>
      <c r="B719">
        <v>267.71248768052027</v>
      </c>
      <c r="C719">
        <v>264.69783713449448</v>
      </c>
      <c r="D719">
        <v>253.02994403236505</v>
      </c>
      <c r="E719">
        <v>295.22451010306082</v>
      </c>
      <c r="F719">
        <v>262.97669669930769</v>
      </c>
      <c r="G719">
        <v>264.55867176583729</v>
      </c>
      <c r="H719">
        <v>267.62751513546061</v>
      </c>
      <c r="I719">
        <v>311.59911841485615</v>
      </c>
      <c r="J719">
        <v>301.37086255363312</v>
      </c>
      <c r="K719">
        <v>330.53162092909878</v>
      </c>
      <c r="L719">
        <v>380.74051192350487</v>
      </c>
    </row>
    <row r="720" spans="1:12" x14ac:dyDescent="0.25">
      <c r="A720">
        <v>231.45184192531414</v>
      </c>
      <c r="B720">
        <v>258.27035283847164</v>
      </c>
      <c r="C720">
        <v>235.89510862500299</v>
      </c>
      <c r="D720">
        <v>228.03599831880473</v>
      </c>
      <c r="E720">
        <v>260.66094603388501</v>
      </c>
      <c r="F720">
        <v>252.77270344170947</v>
      </c>
      <c r="G720">
        <v>218.10887224815599</v>
      </c>
      <c r="H720">
        <v>257.56294441851662</v>
      </c>
      <c r="I720">
        <v>254.58532404886898</v>
      </c>
      <c r="J720">
        <v>265.25723188288799</v>
      </c>
      <c r="K720">
        <v>294.65284064669862</v>
      </c>
      <c r="L720">
        <v>348.3192504026274</v>
      </c>
    </row>
    <row r="721" spans="1:12" x14ac:dyDescent="0.25">
      <c r="A721">
        <v>249.07398005885995</v>
      </c>
      <c r="B721">
        <v>258.44650995785992</v>
      </c>
      <c r="C721">
        <v>219.43796890166317</v>
      </c>
      <c r="D721">
        <v>223.59891141407314</v>
      </c>
      <c r="E721">
        <v>257.85023552231223</v>
      </c>
      <c r="F721">
        <v>228.45847858245341</v>
      </c>
      <c r="G721">
        <v>227.30313426107924</v>
      </c>
      <c r="H721">
        <v>238.92186061437536</v>
      </c>
      <c r="I721">
        <v>255.19737001387946</v>
      </c>
      <c r="J721">
        <v>257.00008723608636</v>
      </c>
      <c r="K721">
        <v>267.80431346658918</v>
      </c>
      <c r="L721">
        <v>300.97195179264321</v>
      </c>
    </row>
    <row r="722" spans="1:12" x14ac:dyDescent="0.25">
      <c r="A722">
        <v>255.26747432413165</v>
      </c>
      <c r="B722">
        <v>257.89542881877497</v>
      </c>
      <c r="C722">
        <v>240.10114577455053</v>
      </c>
      <c r="D722">
        <v>237.70589953705283</v>
      </c>
      <c r="E722">
        <v>262.17870912702472</v>
      </c>
      <c r="F722">
        <v>242.67370871722409</v>
      </c>
      <c r="G722">
        <v>264.72079231682983</v>
      </c>
      <c r="H722">
        <v>263.19426833075107</v>
      </c>
      <c r="I722">
        <v>267.40930149695771</v>
      </c>
      <c r="J722">
        <v>287.59571471433946</v>
      </c>
      <c r="K722">
        <v>296.78376322820401</v>
      </c>
      <c r="L722">
        <v>349.33102188118494</v>
      </c>
    </row>
    <row r="723" spans="1:12" x14ac:dyDescent="0.25">
      <c r="A723">
        <v>260.00453615660092</v>
      </c>
      <c r="B723">
        <v>268.41858457416095</v>
      </c>
      <c r="C723">
        <v>252.61287825139698</v>
      </c>
      <c r="D723">
        <v>244.3762144264432</v>
      </c>
      <c r="E723">
        <v>276.22379526183738</v>
      </c>
      <c r="F723">
        <v>267.23687369810722</v>
      </c>
      <c r="G723">
        <v>250.59461138719695</v>
      </c>
      <c r="H723">
        <v>257.33871207782306</v>
      </c>
      <c r="I723">
        <v>293.18871615684725</v>
      </c>
      <c r="J723">
        <v>312.45646221149536</v>
      </c>
      <c r="K723">
        <v>303.13517217324062</v>
      </c>
      <c r="L723">
        <v>370.25334630384401</v>
      </c>
    </row>
    <row r="724" spans="1:12" x14ac:dyDescent="0.25">
      <c r="A724">
        <v>258.81488909228813</v>
      </c>
      <c r="B724">
        <v>269.09639008083258</v>
      </c>
      <c r="C724">
        <v>258.87781293345654</v>
      </c>
      <c r="D724">
        <v>261.49568332284622</v>
      </c>
      <c r="E724">
        <v>301.44651437859972</v>
      </c>
      <c r="F724">
        <v>258.07160061607073</v>
      </c>
      <c r="G724">
        <v>264.76193514119598</v>
      </c>
      <c r="H724">
        <v>262.82191921211012</v>
      </c>
      <c r="I724">
        <v>296.21514579521914</v>
      </c>
      <c r="J724">
        <v>302.27299520392023</v>
      </c>
      <c r="K724">
        <v>333.4653066396321</v>
      </c>
      <c r="L724">
        <v>388.90226747740314</v>
      </c>
    </row>
    <row r="725" spans="1:12" x14ac:dyDescent="0.25">
      <c r="A725">
        <v>235.23962320752534</v>
      </c>
      <c r="B725">
        <v>259.45440630199283</v>
      </c>
      <c r="C725">
        <v>232.77050121283392</v>
      </c>
      <c r="D725">
        <v>239.66146560363762</v>
      </c>
      <c r="E725">
        <v>263.67264463714514</v>
      </c>
      <c r="F725">
        <v>247.99965328826761</v>
      </c>
      <c r="G725">
        <v>244.00156910058399</v>
      </c>
      <c r="H725">
        <v>244.84917811617217</v>
      </c>
      <c r="I725">
        <v>275.37766303606219</v>
      </c>
      <c r="J725">
        <v>280.25018969879875</v>
      </c>
      <c r="K725">
        <v>301.03491616267758</v>
      </c>
      <c r="L725">
        <v>359.3326013128468</v>
      </c>
    </row>
    <row r="726" spans="1:12" x14ac:dyDescent="0.25">
      <c r="A726">
        <v>247.38321839822626</v>
      </c>
      <c r="B726">
        <v>265.07762335614899</v>
      </c>
      <c r="C726">
        <v>225.73052994534004</v>
      </c>
      <c r="D726">
        <v>249.9915105683996</v>
      </c>
      <c r="E726">
        <v>293.55452557218035</v>
      </c>
      <c r="F726">
        <v>257.60671256022107</v>
      </c>
      <c r="G726">
        <v>269.79936263412611</v>
      </c>
      <c r="H726">
        <v>291.78406400635731</v>
      </c>
      <c r="I726">
        <v>301.65916675085003</v>
      </c>
      <c r="J726">
        <v>310.4948801350485</v>
      </c>
      <c r="K726">
        <v>328.57942158565288</v>
      </c>
      <c r="L726">
        <v>392.74758840023304</v>
      </c>
    </row>
    <row r="727" spans="1:12" x14ac:dyDescent="0.25">
      <c r="A727">
        <v>254.77156544571039</v>
      </c>
      <c r="B727">
        <v>266.43532358310051</v>
      </c>
      <c r="C727">
        <v>214.774650487489</v>
      </c>
      <c r="D727">
        <v>234.93710749760362</v>
      </c>
      <c r="E727">
        <v>274.78231712697368</v>
      </c>
      <c r="F727">
        <v>248.73180002973717</v>
      </c>
      <c r="G727">
        <v>267.96820469094024</v>
      </c>
      <c r="H727">
        <v>263.89330798136638</v>
      </c>
      <c r="I727">
        <v>281.27653997752503</v>
      </c>
      <c r="J727">
        <v>296.64394036870982</v>
      </c>
      <c r="K727">
        <v>311.05733695427176</v>
      </c>
      <c r="L727">
        <v>360.91301040327471</v>
      </c>
    </row>
    <row r="728" spans="1:12" x14ac:dyDescent="0.25">
      <c r="A728">
        <v>253.10573458815691</v>
      </c>
      <c r="B728">
        <v>263.52124669795978</v>
      </c>
      <c r="C728">
        <v>246.09651438758129</v>
      </c>
      <c r="D728">
        <v>237.97859763509055</v>
      </c>
      <c r="E728">
        <v>283.07277370406467</v>
      </c>
      <c r="F728">
        <v>257.23052379062233</v>
      </c>
      <c r="G728">
        <v>264.67750391794596</v>
      </c>
      <c r="H728">
        <v>279.06885624397898</v>
      </c>
      <c r="I728">
        <v>304.90741799467662</v>
      </c>
      <c r="J728">
        <v>306.28965009287856</v>
      </c>
      <c r="K728">
        <v>325.24696627975601</v>
      </c>
      <c r="L728">
        <v>405.03758156648854</v>
      </c>
    </row>
    <row r="729" spans="1:12" x14ac:dyDescent="0.25">
      <c r="A729">
        <v>249.2796323811767</v>
      </c>
      <c r="B729">
        <v>278.43453218977265</v>
      </c>
      <c r="C729">
        <v>243.91149866031046</v>
      </c>
      <c r="D729">
        <v>253.99890172323157</v>
      </c>
      <c r="E729">
        <v>293.58671127511133</v>
      </c>
      <c r="F729">
        <v>264.38844392646939</v>
      </c>
      <c r="G729">
        <v>272.0932810393636</v>
      </c>
      <c r="H729">
        <v>268.29093379511255</v>
      </c>
      <c r="I729">
        <v>303.9352398371783</v>
      </c>
      <c r="J729">
        <v>313.94240894420597</v>
      </c>
      <c r="K729">
        <v>329.866484866402</v>
      </c>
      <c r="L729">
        <v>397.81221214770676</v>
      </c>
    </row>
    <row r="730" spans="1:12" x14ac:dyDescent="0.25">
      <c r="A730">
        <v>241.30532511141183</v>
      </c>
      <c r="B730">
        <v>255.45101016291727</v>
      </c>
      <c r="C730">
        <v>237.76552660445367</v>
      </c>
      <c r="D730">
        <v>243.51710368110716</v>
      </c>
      <c r="E730">
        <v>259.94395182494469</v>
      </c>
      <c r="F730">
        <v>226.72446461516881</v>
      </c>
      <c r="G730">
        <v>249.06287080949986</v>
      </c>
      <c r="H730">
        <v>259.66572024177214</v>
      </c>
      <c r="I730">
        <v>277.59677292736706</v>
      </c>
      <c r="J730">
        <v>299.62585661838676</v>
      </c>
      <c r="K730">
        <v>308.54404289044112</v>
      </c>
      <c r="L730">
        <v>365.29974666774422</v>
      </c>
    </row>
    <row r="731" spans="1:12" x14ac:dyDescent="0.25">
      <c r="A731">
        <v>249.429305223564</v>
      </c>
      <c r="B731">
        <v>263.95192958563894</v>
      </c>
      <c r="C731">
        <v>249.91216692018131</v>
      </c>
      <c r="D731">
        <v>256.51484069717759</v>
      </c>
      <c r="E731">
        <v>268.14918070728322</v>
      </c>
      <c r="F731">
        <v>252.2304083673265</v>
      </c>
      <c r="G731">
        <v>259.93390534906678</v>
      </c>
      <c r="H731">
        <v>261.85782461491777</v>
      </c>
      <c r="I731">
        <v>300.87247633184256</v>
      </c>
      <c r="J731">
        <v>316.81182532655214</v>
      </c>
      <c r="K731">
        <v>336.99332532582775</v>
      </c>
      <c r="L731">
        <v>386.05225983578782</v>
      </c>
    </row>
    <row r="732" spans="1:12" x14ac:dyDescent="0.25">
      <c r="A732">
        <v>242.41739311351657</v>
      </c>
      <c r="B732">
        <v>274.05468327745933</v>
      </c>
      <c r="C732">
        <v>256.90483185991849</v>
      </c>
      <c r="D732">
        <v>248.0199128663042</v>
      </c>
      <c r="E732">
        <v>286.77467797718145</v>
      </c>
      <c r="F732">
        <v>237.94465774829968</v>
      </c>
      <c r="G732">
        <v>268.01720466044537</v>
      </c>
      <c r="H732">
        <v>275.48106638716456</v>
      </c>
      <c r="I732">
        <v>289.51926170718184</v>
      </c>
      <c r="J732">
        <v>309.44745981046123</v>
      </c>
      <c r="K732">
        <v>322.49618513683731</v>
      </c>
      <c r="L732">
        <v>379.85837887178138</v>
      </c>
    </row>
    <row r="733" spans="1:12" x14ac:dyDescent="0.25">
      <c r="A733">
        <v>225.20828030035275</v>
      </c>
      <c r="B733">
        <v>269.92574609439185</v>
      </c>
      <c r="C733">
        <v>241.7121839736572</v>
      </c>
      <c r="D733">
        <v>231.10025769421404</v>
      </c>
      <c r="E733">
        <v>269.02604455442167</v>
      </c>
      <c r="F733">
        <v>239.50967023066238</v>
      </c>
      <c r="G733">
        <v>257.3149619354914</v>
      </c>
      <c r="H733">
        <v>255.83084159155322</v>
      </c>
      <c r="I733">
        <v>263.17047345441341</v>
      </c>
      <c r="J733">
        <v>269.56812419527381</v>
      </c>
      <c r="K733">
        <v>299.81983972167501</v>
      </c>
      <c r="L733">
        <v>350.85609736501812</v>
      </c>
    </row>
    <row r="734" spans="1:12" x14ac:dyDescent="0.25">
      <c r="A734">
        <v>233.96787772340886</v>
      </c>
      <c r="B734">
        <v>271.57568883561356</v>
      </c>
      <c r="C734">
        <v>236.56643759076721</v>
      </c>
      <c r="D734">
        <v>225.64025234114243</v>
      </c>
      <c r="E734">
        <v>272.83251765855942</v>
      </c>
      <c r="F734">
        <v>228.3159136420619</v>
      </c>
      <c r="G734">
        <v>263.02236279059446</v>
      </c>
      <c r="H734">
        <v>247.89935947242137</v>
      </c>
      <c r="I734">
        <v>257.12629420945677</v>
      </c>
      <c r="J734">
        <v>290.37032352502752</v>
      </c>
      <c r="K734">
        <v>278.59554488011321</v>
      </c>
      <c r="L734">
        <v>332.26250903774553</v>
      </c>
    </row>
    <row r="735" spans="1:12" x14ac:dyDescent="0.25">
      <c r="A735">
        <v>241.21443958709057</v>
      </c>
      <c r="B735">
        <v>277.97347652017737</v>
      </c>
      <c r="C735">
        <v>245.4992462380724</v>
      </c>
      <c r="D735">
        <v>241.15305263444606</v>
      </c>
      <c r="E735">
        <v>282.78623377889664</v>
      </c>
      <c r="F735">
        <v>256.06590340274056</v>
      </c>
      <c r="G735">
        <v>246.71377305350839</v>
      </c>
      <c r="H735">
        <v>266.3085584608292</v>
      </c>
      <c r="I735">
        <v>280.8539737641463</v>
      </c>
      <c r="J735">
        <v>296.98265857921103</v>
      </c>
      <c r="K735">
        <v>321.2644808742366</v>
      </c>
      <c r="L735">
        <v>361.65189356696061</v>
      </c>
    </row>
    <row r="736" spans="1:12" x14ac:dyDescent="0.25">
      <c r="A736">
        <v>250.53073381168241</v>
      </c>
      <c r="B736">
        <v>263.05414309479545</v>
      </c>
      <c r="C736">
        <v>273.69327862280375</v>
      </c>
      <c r="D736">
        <v>257.78023498906367</v>
      </c>
      <c r="E736">
        <v>288.92804587762407</v>
      </c>
      <c r="F736">
        <v>287.79162734119825</v>
      </c>
      <c r="G736">
        <v>287.74676899926459</v>
      </c>
      <c r="H736">
        <v>298.42668566808118</v>
      </c>
      <c r="I736">
        <v>324.10698471170463</v>
      </c>
      <c r="J736">
        <v>343.04119969176281</v>
      </c>
      <c r="K736">
        <v>367.23440297780513</v>
      </c>
      <c r="L736">
        <v>417.5038976484297</v>
      </c>
    </row>
    <row r="737" spans="1:12" x14ac:dyDescent="0.25">
      <c r="A737">
        <v>245.74528079268575</v>
      </c>
      <c r="B737">
        <v>268.08814224121863</v>
      </c>
      <c r="C737">
        <v>230.70057511838897</v>
      </c>
      <c r="D737">
        <v>247.7076848623845</v>
      </c>
      <c r="E737">
        <v>294.42377208920885</v>
      </c>
      <c r="F737">
        <v>271.97760062091214</v>
      </c>
      <c r="G737">
        <v>262.40184795831578</v>
      </c>
      <c r="H737">
        <v>276.71502270744583</v>
      </c>
      <c r="I737">
        <v>305.74698847036882</v>
      </c>
      <c r="J737">
        <v>313.42346033632731</v>
      </c>
      <c r="K737">
        <v>343.76110791727075</v>
      </c>
      <c r="L737">
        <v>393.86867951423767</v>
      </c>
    </row>
    <row r="738" spans="1:12" x14ac:dyDescent="0.25">
      <c r="A738">
        <v>257.76074623979258</v>
      </c>
      <c r="B738">
        <v>255.47985836333405</v>
      </c>
      <c r="C738">
        <v>241.6859723735397</v>
      </c>
      <c r="D738">
        <v>223.44244194290746</v>
      </c>
      <c r="E738">
        <v>279.39391588945182</v>
      </c>
      <c r="F738">
        <v>238.03615317244751</v>
      </c>
      <c r="G738">
        <v>274.19476118797655</v>
      </c>
      <c r="H738">
        <v>273.54468744972814</v>
      </c>
      <c r="I738">
        <v>283.46786974544688</v>
      </c>
      <c r="J738">
        <v>311.05579965663065</v>
      </c>
      <c r="K738">
        <v>319.87418849741613</v>
      </c>
      <c r="L738">
        <v>370.40178487403142</v>
      </c>
    </row>
    <row r="739" spans="1:12" x14ac:dyDescent="0.25">
      <c r="A739">
        <v>249.20453529881041</v>
      </c>
      <c r="B739">
        <v>274.61893973572751</v>
      </c>
      <c r="C739">
        <v>250.80069830964379</v>
      </c>
      <c r="D739">
        <v>258.39450958259448</v>
      </c>
      <c r="E739">
        <v>290.5515810109431</v>
      </c>
      <c r="F739">
        <v>269.8974608244427</v>
      </c>
      <c r="G739">
        <v>276.29306994475593</v>
      </c>
      <c r="H739">
        <v>290.94597823254605</v>
      </c>
      <c r="I739">
        <v>330.60965068379051</v>
      </c>
      <c r="J739">
        <v>327.53501936373738</v>
      </c>
      <c r="K739">
        <v>357.40203460536537</v>
      </c>
      <c r="L739">
        <v>418.94602438058132</v>
      </c>
    </row>
    <row r="740" spans="1:12" x14ac:dyDescent="0.25">
      <c r="A740">
        <v>250.07186131506901</v>
      </c>
      <c r="B740">
        <v>271.96620644397268</v>
      </c>
      <c r="C740">
        <v>253.05885823128926</v>
      </c>
      <c r="D740">
        <v>232.08414678813332</v>
      </c>
      <c r="E740">
        <v>270.20805400472511</v>
      </c>
      <c r="F740">
        <v>250.13947919832961</v>
      </c>
      <c r="G740">
        <v>272.61827261327318</v>
      </c>
      <c r="H740">
        <v>275.29898977087839</v>
      </c>
      <c r="I740">
        <v>304.95294509155366</v>
      </c>
      <c r="J740">
        <v>312.88661864194876</v>
      </c>
      <c r="K740">
        <v>335.85896017635412</v>
      </c>
      <c r="L740">
        <v>368.35602145030379</v>
      </c>
    </row>
    <row r="741" spans="1:12" x14ac:dyDescent="0.25">
      <c r="A741">
        <v>245.28470881500004</v>
      </c>
      <c r="B741">
        <v>277.29534354174319</v>
      </c>
      <c r="C741">
        <v>247.3467352656736</v>
      </c>
      <c r="D741">
        <v>235.69421704574094</v>
      </c>
      <c r="E741">
        <v>290.07072274954811</v>
      </c>
      <c r="F741">
        <v>258.83000002748366</v>
      </c>
      <c r="G741">
        <v>265.57064239507145</v>
      </c>
      <c r="H741">
        <v>289.85156164525495</v>
      </c>
      <c r="I741">
        <v>287.01181381768998</v>
      </c>
      <c r="J741">
        <v>312.28009383123464</v>
      </c>
      <c r="K741">
        <v>332.49916026704085</v>
      </c>
      <c r="L741">
        <v>386.7681504245798</v>
      </c>
    </row>
    <row r="742" spans="1:12" x14ac:dyDescent="0.25">
      <c r="A742">
        <v>248.33235568754282</v>
      </c>
      <c r="B742">
        <v>253.39439065921931</v>
      </c>
      <c r="C742">
        <v>238.5333357418431</v>
      </c>
      <c r="D742">
        <v>226.22041192197716</v>
      </c>
      <c r="E742">
        <v>264.8143281044853</v>
      </c>
      <c r="F742">
        <v>233.29554715842306</v>
      </c>
      <c r="G742">
        <v>249.79228811848472</v>
      </c>
      <c r="H742">
        <v>269.15945582952219</v>
      </c>
      <c r="I742">
        <v>264.28837320351738</v>
      </c>
      <c r="J742">
        <v>297.7204379464381</v>
      </c>
      <c r="K742">
        <v>308.33100937253823</v>
      </c>
      <c r="L742">
        <v>377.63370177719383</v>
      </c>
    </row>
    <row r="743" spans="1:12" x14ac:dyDescent="0.25">
      <c r="A743">
        <v>251.64993395983964</v>
      </c>
      <c r="B743">
        <v>268.7140930798966</v>
      </c>
      <c r="C743">
        <v>236.93398892223337</v>
      </c>
      <c r="D743">
        <v>240.17767121341774</v>
      </c>
      <c r="E743">
        <v>291.620667301879</v>
      </c>
      <c r="F743">
        <v>265.57761180384978</v>
      </c>
      <c r="G743">
        <v>263.39656521251061</v>
      </c>
      <c r="H743">
        <v>272.75286860013279</v>
      </c>
      <c r="I743">
        <v>289.25081352384677</v>
      </c>
      <c r="J743">
        <v>298.94282709867161</v>
      </c>
      <c r="K743">
        <v>318.65376176832177</v>
      </c>
      <c r="L743">
        <v>371.02638711776154</v>
      </c>
    </row>
    <row r="744" spans="1:12" x14ac:dyDescent="0.25">
      <c r="A744">
        <v>237.80707677372811</v>
      </c>
      <c r="B744">
        <v>251.12279646661099</v>
      </c>
      <c r="C744">
        <v>222.55413335999629</v>
      </c>
      <c r="D744">
        <v>230.6203113631972</v>
      </c>
      <c r="E744">
        <v>274.04108254436937</v>
      </c>
      <c r="F744">
        <v>236.18801640887261</v>
      </c>
      <c r="G744">
        <v>248.1699779695283</v>
      </c>
      <c r="H744">
        <v>242.64621511390737</v>
      </c>
      <c r="I744">
        <v>273.11604692176985</v>
      </c>
      <c r="J744">
        <v>277.10091748553282</v>
      </c>
      <c r="K744">
        <v>302.37572308430015</v>
      </c>
      <c r="L744">
        <v>332.09680597698372</v>
      </c>
    </row>
    <row r="745" spans="1:12" x14ac:dyDescent="0.25">
      <c r="A745">
        <v>251.21034390798118</v>
      </c>
      <c r="B745">
        <v>256.3170017123756</v>
      </c>
      <c r="C745">
        <v>262.16880917830463</v>
      </c>
      <c r="D745">
        <v>238.3140052568032</v>
      </c>
      <c r="E745">
        <v>294.51342395599784</v>
      </c>
      <c r="F745">
        <v>249.29239353548328</v>
      </c>
      <c r="G745">
        <v>281.72507168425085</v>
      </c>
      <c r="H745">
        <v>294.34228342938837</v>
      </c>
      <c r="I745">
        <v>310.77112136717483</v>
      </c>
      <c r="J745">
        <v>326.40257845688814</v>
      </c>
      <c r="K745">
        <v>352.81588720142889</v>
      </c>
      <c r="L745">
        <v>403.48565057761914</v>
      </c>
    </row>
    <row r="746" spans="1:12" x14ac:dyDescent="0.25">
      <c r="A746">
        <v>241.89628432238189</v>
      </c>
      <c r="B746">
        <v>286.36171426104664</v>
      </c>
      <c r="C746">
        <v>245.57024362633516</v>
      </c>
      <c r="D746">
        <v>238.22230375053525</v>
      </c>
      <c r="E746">
        <v>288.49917016719894</v>
      </c>
      <c r="F746">
        <v>239.26200605456137</v>
      </c>
      <c r="G746">
        <v>243.72861181337959</v>
      </c>
      <c r="H746">
        <v>244.11413389515209</v>
      </c>
      <c r="I746">
        <v>275.8985643622965</v>
      </c>
      <c r="J746">
        <v>265.68668790972714</v>
      </c>
      <c r="K746">
        <v>288.46440201767859</v>
      </c>
      <c r="L746">
        <v>314.78915451356676</v>
      </c>
    </row>
    <row r="747" spans="1:12" x14ac:dyDescent="0.25">
      <c r="A747">
        <v>248.26848867091752</v>
      </c>
      <c r="B747">
        <v>277.44431737092901</v>
      </c>
      <c r="C747">
        <v>251.15904072948575</v>
      </c>
      <c r="D747">
        <v>253.79741829699424</v>
      </c>
      <c r="E747">
        <v>275.19130134579353</v>
      </c>
      <c r="F747">
        <v>276.48800935534723</v>
      </c>
      <c r="G747">
        <v>265.67688755634424</v>
      </c>
      <c r="H747">
        <v>278.98083814755091</v>
      </c>
      <c r="I747">
        <v>304.38208400494119</v>
      </c>
      <c r="J747">
        <v>306.82258683546189</v>
      </c>
      <c r="K747">
        <v>351.68046819601642</v>
      </c>
      <c r="L747">
        <v>396.29701613801222</v>
      </c>
    </row>
    <row r="748" spans="1:12" x14ac:dyDescent="0.25">
      <c r="A748">
        <v>231.65341316260279</v>
      </c>
      <c r="B748">
        <v>253.96691102183985</v>
      </c>
      <c r="C748">
        <v>240.99418130949425</v>
      </c>
      <c r="D748">
        <v>250.53496935014104</v>
      </c>
      <c r="E748">
        <v>276.27097299226267</v>
      </c>
      <c r="F748">
        <v>241.54025626452335</v>
      </c>
      <c r="G748">
        <v>258.27871675107747</v>
      </c>
      <c r="H748">
        <v>252.2469241195123</v>
      </c>
      <c r="I748">
        <v>281.53642848703618</v>
      </c>
      <c r="J748">
        <v>284.46295808346849</v>
      </c>
      <c r="K748">
        <v>296.60018464232456</v>
      </c>
      <c r="L748">
        <v>334.11228882693757</v>
      </c>
    </row>
    <row r="749" spans="1:12" x14ac:dyDescent="0.25">
      <c r="A749">
        <v>243.06395477919287</v>
      </c>
      <c r="B749">
        <v>237.26604440083807</v>
      </c>
      <c r="C749">
        <v>240.4648136701818</v>
      </c>
      <c r="D749">
        <v>236.01926252840826</v>
      </c>
      <c r="E749">
        <v>270.15735881505321</v>
      </c>
      <c r="F749">
        <v>243.04846390509726</v>
      </c>
      <c r="G749">
        <v>251.03661200322205</v>
      </c>
      <c r="H749">
        <v>242.24517371264517</v>
      </c>
      <c r="I749">
        <v>278.69962897804044</v>
      </c>
      <c r="J749">
        <v>300.76355982683918</v>
      </c>
      <c r="K749">
        <v>308.4832730544187</v>
      </c>
      <c r="L749">
        <v>344.03421501654122</v>
      </c>
    </row>
    <row r="750" spans="1:12" x14ac:dyDescent="0.25">
      <c r="A750">
        <v>243.07695711692321</v>
      </c>
      <c r="B750">
        <v>257.87719167811809</v>
      </c>
      <c r="C750">
        <v>239.05944949544764</v>
      </c>
      <c r="D750">
        <v>232.59807091633726</v>
      </c>
      <c r="E750">
        <v>269.33145790989198</v>
      </c>
      <c r="F750">
        <v>236.1221247954125</v>
      </c>
      <c r="G750">
        <v>229.75654527556429</v>
      </c>
      <c r="H750">
        <v>245.1904414268125</v>
      </c>
      <c r="I750">
        <v>266.30675418792418</v>
      </c>
      <c r="J750">
        <v>266.59943696130239</v>
      </c>
      <c r="K750">
        <v>290.03456829469673</v>
      </c>
      <c r="L750">
        <v>332.74553469365338</v>
      </c>
    </row>
    <row r="751" spans="1:12" x14ac:dyDescent="0.25">
      <c r="A751">
        <v>247.53017280213686</v>
      </c>
      <c r="B751">
        <v>267.32564645120817</v>
      </c>
      <c r="C751">
        <v>235.75996944113163</v>
      </c>
      <c r="D751">
        <v>252.83920898581385</v>
      </c>
      <c r="E751">
        <v>293.82192010403526</v>
      </c>
      <c r="F751">
        <v>272.25153487145104</v>
      </c>
      <c r="G751">
        <v>264.46950989853951</v>
      </c>
      <c r="H751">
        <v>280.15697272444771</v>
      </c>
      <c r="I751">
        <v>324.78909521402346</v>
      </c>
      <c r="J751">
        <v>362.96729040938004</v>
      </c>
      <c r="K751">
        <v>357.64456184110384</v>
      </c>
      <c r="L751">
        <v>422.86245069024011</v>
      </c>
    </row>
    <row r="752" spans="1:12" x14ac:dyDescent="0.25">
      <c r="A752">
        <v>259.31733651687603</v>
      </c>
      <c r="B752">
        <v>273.18085097159212</v>
      </c>
      <c r="C752">
        <v>236.88333581636076</v>
      </c>
      <c r="D752">
        <v>249.31129383332475</v>
      </c>
      <c r="E752">
        <v>295.61025826555937</v>
      </c>
      <c r="F752">
        <v>258.23318452851225</v>
      </c>
      <c r="G752">
        <v>260.50604765944837</v>
      </c>
      <c r="H752">
        <v>287.09045250406325</v>
      </c>
      <c r="I752">
        <v>303.50616833220795</v>
      </c>
      <c r="J752">
        <v>305.82223956465754</v>
      </c>
      <c r="K752">
        <v>321.4857395511458</v>
      </c>
      <c r="L752">
        <v>364.64309605231375</v>
      </c>
    </row>
    <row r="753" spans="1:12" x14ac:dyDescent="0.25">
      <c r="A753">
        <v>251.38758137540361</v>
      </c>
      <c r="B753">
        <v>274.51359616495387</v>
      </c>
      <c r="C753">
        <v>242.6429400285019</v>
      </c>
      <c r="D753">
        <v>249.21540644246207</v>
      </c>
      <c r="E753">
        <v>290.80349000161618</v>
      </c>
      <c r="F753">
        <v>265.98554575954313</v>
      </c>
      <c r="G753">
        <v>275.82250948061727</v>
      </c>
      <c r="H753">
        <v>287.29214137357712</v>
      </c>
      <c r="I753">
        <v>318.44339221042014</v>
      </c>
      <c r="J753">
        <v>323.9883601008641</v>
      </c>
      <c r="K753">
        <v>337.06575311317243</v>
      </c>
      <c r="L753">
        <v>410.31618254869556</v>
      </c>
    </row>
    <row r="754" spans="1:12" x14ac:dyDescent="0.25">
      <c r="A754">
        <v>262.57452751821472</v>
      </c>
      <c r="B754">
        <v>265.61913917765798</v>
      </c>
      <c r="C754">
        <v>240.08901057902486</v>
      </c>
      <c r="D754">
        <v>242.05687960325184</v>
      </c>
      <c r="E754">
        <v>286.59532224102077</v>
      </c>
      <c r="F754">
        <v>245.43851333068025</v>
      </c>
      <c r="G754">
        <v>276.92077360898162</v>
      </c>
      <c r="H754">
        <v>276.0842332117976</v>
      </c>
      <c r="I754">
        <v>307.68246245725118</v>
      </c>
      <c r="J754">
        <v>331.32740869857639</v>
      </c>
      <c r="K754">
        <v>343.20447165286436</v>
      </c>
      <c r="L754">
        <v>400.41987158111084</v>
      </c>
    </row>
    <row r="755" spans="1:12" x14ac:dyDescent="0.25">
      <c r="A755">
        <v>253.58231520852718</v>
      </c>
      <c r="B755">
        <v>281.9934588180854</v>
      </c>
      <c r="C755">
        <v>267.27266214512662</v>
      </c>
      <c r="D755">
        <v>246.91047309979493</v>
      </c>
      <c r="E755">
        <v>281.29358205702016</v>
      </c>
      <c r="F755">
        <v>270.55215938989664</v>
      </c>
      <c r="G755">
        <v>273.4396997964418</v>
      </c>
      <c r="H755">
        <v>268.50648727603249</v>
      </c>
      <c r="I755">
        <v>304.50861291022829</v>
      </c>
      <c r="J755">
        <v>311.44352926253737</v>
      </c>
      <c r="K755">
        <v>330.60077747922702</v>
      </c>
      <c r="L755">
        <v>378.30315744283666</v>
      </c>
    </row>
    <row r="756" spans="1:12" x14ac:dyDescent="0.25">
      <c r="A756">
        <v>261.9867450212725</v>
      </c>
      <c r="B756">
        <v>268.15818515296672</v>
      </c>
      <c r="C756">
        <v>257.22000514167729</v>
      </c>
      <c r="D756">
        <v>255.04417667982403</v>
      </c>
      <c r="E756">
        <v>288.65459622471803</v>
      </c>
      <c r="F756">
        <v>245.96782606833074</v>
      </c>
      <c r="G756">
        <v>264.55180125770261</v>
      </c>
      <c r="H756">
        <v>269.46755384104625</v>
      </c>
      <c r="I756">
        <v>304.83965578122445</v>
      </c>
      <c r="J756">
        <v>296.35190336847387</v>
      </c>
      <c r="K756">
        <v>339.57699203757005</v>
      </c>
      <c r="L756">
        <v>384.00149720199084</v>
      </c>
    </row>
    <row r="757" spans="1:12" x14ac:dyDescent="0.25">
      <c r="A757">
        <v>253.31551913688085</v>
      </c>
      <c r="B757">
        <v>268.37090219843844</v>
      </c>
      <c r="C757">
        <v>240.03267390613564</v>
      </c>
      <c r="D757">
        <v>244.8294621635896</v>
      </c>
      <c r="E757">
        <v>283.81199914574484</v>
      </c>
      <c r="F757">
        <v>273.396814461291</v>
      </c>
      <c r="G757">
        <v>273.75112869331497</v>
      </c>
      <c r="H757">
        <v>280.01340076683073</v>
      </c>
      <c r="I757">
        <v>303.851542983927</v>
      </c>
      <c r="J757">
        <v>307.59219297941564</v>
      </c>
      <c r="K757">
        <v>329.90157639158411</v>
      </c>
      <c r="L757">
        <v>385.68748809543973</v>
      </c>
    </row>
    <row r="758" spans="1:12" x14ac:dyDescent="0.25">
      <c r="A758">
        <v>238.03578168484634</v>
      </c>
      <c r="B758">
        <v>256.93988270897762</v>
      </c>
      <c r="C758">
        <v>254.03880488162864</v>
      </c>
      <c r="D758">
        <v>242.7757469223329</v>
      </c>
      <c r="E758">
        <v>280.05849423207439</v>
      </c>
      <c r="F758">
        <v>242.68880410588699</v>
      </c>
      <c r="G758">
        <v>273.71469453993751</v>
      </c>
      <c r="H758">
        <v>272.803778389878</v>
      </c>
      <c r="I758">
        <v>304.30401659661948</v>
      </c>
      <c r="J758">
        <v>318.15704035529347</v>
      </c>
      <c r="K758">
        <v>337.52310993311073</v>
      </c>
      <c r="L758">
        <v>393.41261220050114</v>
      </c>
    </row>
    <row r="759" spans="1:12" x14ac:dyDescent="0.25">
      <c r="A759">
        <v>251.68126655374439</v>
      </c>
      <c r="B759">
        <v>257.50095681838945</v>
      </c>
      <c r="C759">
        <v>243.25008990687678</v>
      </c>
      <c r="D759">
        <v>261.99442964428414</v>
      </c>
      <c r="E759">
        <v>300.55580008141834</v>
      </c>
      <c r="F759">
        <v>254.36218223644252</v>
      </c>
      <c r="G759">
        <v>259.53847135405948</v>
      </c>
      <c r="H759">
        <v>261.81713540880492</v>
      </c>
      <c r="I759">
        <v>291.22724900568625</v>
      </c>
      <c r="J759">
        <v>319.99312413537268</v>
      </c>
      <c r="K759">
        <v>334.39433909565139</v>
      </c>
      <c r="L759">
        <v>384.12766578172159</v>
      </c>
    </row>
    <row r="760" spans="1:12" x14ac:dyDescent="0.25">
      <c r="A760">
        <v>228.07334919955716</v>
      </c>
      <c r="B760">
        <v>261.84459040407228</v>
      </c>
      <c r="C760">
        <v>231.38558027833528</v>
      </c>
      <c r="D760">
        <v>225.32920492374791</v>
      </c>
      <c r="E760">
        <v>269.15856888214449</v>
      </c>
      <c r="F760">
        <v>242.04358556190417</v>
      </c>
      <c r="G760">
        <v>230.84022587286699</v>
      </c>
      <c r="H760">
        <v>237.48293037954645</v>
      </c>
      <c r="I760">
        <v>257.96906169997675</v>
      </c>
      <c r="J760">
        <v>276.58190309842172</v>
      </c>
      <c r="K760">
        <v>277.90099163353557</v>
      </c>
      <c r="L760">
        <v>316.6278681292506</v>
      </c>
    </row>
    <row r="761" spans="1:12" x14ac:dyDescent="0.25">
      <c r="A761">
        <v>237.46807331529337</v>
      </c>
      <c r="B761">
        <v>243.46182058415155</v>
      </c>
      <c r="C761">
        <v>235.87168999390835</v>
      </c>
      <c r="D761">
        <v>223.90617693894029</v>
      </c>
      <c r="E761">
        <v>263.99647475100056</v>
      </c>
      <c r="F761">
        <v>246.80294363066986</v>
      </c>
      <c r="G761">
        <v>237.31516503457269</v>
      </c>
      <c r="H761">
        <v>228.35492555524434</v>
      </c>
      <c r="I761">
        <v>247.20961712898088</v>
      </c>
      <c r="J761">
        <v>261.6354213565578</v>
      </c>
      <c r="K761">
        <v>295.97215739798565</v>
      </c>
      <c r="L761">
        <v>324.04824308980892</v>
      </c>
    </row>
    <row r="762" spans="1:12" x14ac:dyDescent="0.25">
      <c r="A762">
        <v>240.08134835218044</v>
      </c>
      <c r="B762">
        <v>278.51080038019842</v>
      </c>
      <c r="C762">
        <v>246.39804141984641</v>
      </c>
      <c r="D762">
        <v>244.82059183386781</v>
      </c>
      <c r="E762">
        <v>299.42946580385501</v>
      </c>
      <c r="F762">
        <v>252.50578905050057</v>
      </c>
      <c r="G762">
        <v>245.19234114469253</v>
      </c>
      <c r="H762">
        <v>259.62734977935912</v>
      </c>
      <c r="I762">
        <v>266.01662560684201</v>
      </c>
      <c r="J762">
        <v>279.68755054277074</v>
      </c>
      <c r="K762">
        <v>298.21257510759887</v>
      </c>
      <c r="L762">
        <v>348.69893582566954</v>
      </c>
    </row>
    <row r="763" spans="1:12" x14ac:dyDescent="0.25">
      <c r="A763">
        <v>262.71777691258461</v>
      </c>
      <c r="B763">
        <v>270.9789032221542</v>
      </c>
      <c r="C763">
        <v>252.47628418338243</v>
      </c>
      <c r="D763">
        <v>250.63999521962782</v>
      </c>
      <c r="E763">
        <v>301.99466076643017</v>
      </c>
      <c r="F763">
        <v>272.64260129978516</v>
      </c>
      <c r="G763">
        <v>284.86147758164321</v>
      </c>
      <c r="H763">
        <v>296.80650837427902</v>
      </c>
      <c r="I763">
        <v>325.42177769554814</v>
      </c>
      <c r="J763">
        <v>343.33386739570119</v>
      </c>
      <c r="K763">
        <v>360.19283986381004</v>
      </c>
      <c r="L763">
        <v>428.71096515921937</v>
      </c>
    </row>
    <row r="764" spans="1:12" x14ac:dyDescent="0.25">
      <c r="A764">
        <v>251.70496819541194</v>
      </c>
      <c r="B764">
        <v>289.58884506263303</v>
      </c>
      <c r="C764">
        <v>271.703027944148</v>
      </c>
      <c r="D764">
        <v>273.98297314926975</v>
      </c>
      <c r="E764">
        <v>308.83625793838235</v>
      </c>
      <c r="F764">
        <v>280.12837275292088</v>
      </c>
      <c r="G764">
        <v>309.80404512730837</v>
      </c>
      <c r="H764">
        <v>314.57227988393487</v>
      </c>
      <c r="I764">
        <v>323.23942590177376</v>
      </c>
      <c r="J764">
        <v>348.51955167535402</v>
      </c>
      <c r="K764">
        <v>375.38519120845632</v>
      </c>
      <c r="L764">
        <v>444.98650862407465</v>
      </c>
    </row>
    <row r="765" spans="1:12" x14ac:dyDescent="0.25">
      <c r="A765">
        <v>251.52634654654466</v>
      </c>
      <c r="B765">
        <v>258.01803676885316</v>
      </c>
      <c r="C765">
        <v>232.29506615582392</v>
      </c>
      <c r="D765">
        <v>256.73691108930535</v>
      </c>
      <c r="E765">
        <v>270.7665395415118</v>
      </c>
      <c r="F765">
        <v>255.15910064320448</v>
      </c>
      <c r="G765">
        <v>257.99275874481049</v>
      </c>
      <c r="H765">
        <v>269.23271628705328</v>
      </c>
      <c r="I765">
        <v>295.10300199595429</v>
      </c>
      <c r="J765">
        <v>315.29067337264536</v>
      </c>
      <c r="K765">
        <v>334.60835907012739</v>
      </c>
      <c r="L765">
        <v>390.5652501189507</v>
      </c>
    </row>
    <row r="766" spans="1:12" x14ac:dyDescent="0.25">
      <c r="A766">
        <v>258.63355531908257</v>
      </c>
      <c r="B766">
        <v>276.46604468657051</v>
      </c>
      <c r="C766">
        <v>262.25007971237449</v>
      </c>
      <c r="D766">
        <v>257.27658688177615</v>
      </c>
      <c r="E766">
        <v>303.43339471551985</v>
      </c>
      <c r="F766">
        <v>251.65761676934082</v>
      </c>
      <c r="G766">
        <v>267.77350562875711</v>
      </c>
      <c r="H766">
        <v>273.25425355329656</v>
      </c>
      <c r="I766">
        <v>303.94636484202664</v>
      </c>
      <c r="J766">
        <v>299.00902216429188</v>
      </c>
      <c r="K766">
        <v>329.68607151352444</v>
      </c>
      <c r="L766">
        <v>386.61195484317449</v>
      </c>
    </row>
    <row r="767" spans="1:12" x14ac:dyDescent="0.25">
      <c r="A767">
        <v>256.2056604581212</v>
      </c>
      <c r="B767">
        <v>269.82078275053294</v>
      </c>
      <c r="C767">
        <v>231.90106266532246</v>
      </c>
      <c r="D767">
        <v>234.90256511888293</v>
      </c>
      <c r="E767">
        <v>288.62872781271835</v>
      </c>
      <c r="F767">
        <v>243.22939558553426</v>
      </c>
      <c r="G767">
        <v>268.07124919051654</v>
      </c>
      <c r="H767">
        <v>268.36992899104195</v>
      </c>
      <c r="I767">
        <v>284.08270687791907</v>
      </c>
      <c r="J767">
        <v>310.50968241926114</v>
      </c>
      <c r="K767">
        <v>301.03386993762359</v>
      </c>
      <c r="L767">
        <v>365.04171054842681</v>
      </c>
    </row>
    <row r="768" spans="1:12" x14ac:dyDescent="0.25">
      <c r="A768">
        <v>248.01268945062876</v>
      </c>
      <c r="B768">
        <v>266.17437246619352</v>
      </c>
      <c r="C768">
        <v>240.14524586348338</v>
      </c>
      <c r="D768">
        <v>240.65085267331253</v>
      </c>
      <c r="E768">
        <v>275.62445403026555</v>
      </c>
      <c r="F768">
        <v>245.21448757949241</v>
      </c>
      <c r="G768">
        <v>254.87046314040757</v>
      </c>
      <c r="H768">
        <v>230.65596623168625</v>
      </c>
      <c r="I768">
        <v>253.39094338673934</v>
      </c>
      <c r="J768">
        <v>289.92986011836143</v>
      </c>
      <c r="K768">
        <v>292.90145239387533</v>
      </c>
      <c r="L768">
        <v>337.57932841061569</v>
      </c>
    </row>
    <row r="769" spans="1:12" x14ac:dyDescent="0.25">
      <c r="A769">
        <v>227.56269502285761</v>
      </c>
      <c r="B769">
        <v>267.99281892184604</v>
      </c>
      <c r="C769">
        <v>237.94182587599119</v>
      </c>
      <c r="D769">
        <v>226.86688363454471</v>
      </c>
      <c r="E769">
        <v>266.46865258316262</v>
      </c>
      <c r="F769">
        <v>223.87992941828352</v>
      </c>
      <c r="G769">
        <v>247.67313064582152</v>
      </c>
      <c r="H769">
        <v>251.68807640403216</v>
      </c>
      <c r="I769">
        <v>276.09183142719991</v>
      </c>
      <c r="J769">
        <v>268.69951331818118</v>
      </c>
      <c r="K769">
        <v>289.79566125319695</v>
      </c>
      <c r="L769">
        <v>326.79598328861368</v>
      </c>
    </row>
    <row r="770" spans="1:12" x14ac:dyDescent="0.25">
      <c r="A770">
        <v>249.3914781780249</v>
      </c>
      <c r="B770">
        <v>268.90685124341638</v>
      </c>
      <c r="C770">
        <v>251.21363057965289</v>
      </c>
      <c r="D770">
        <v>244.57197039859719</v>
      </c>
      <c r="E770">
        <v>283.11677219752261</v>
      </c>
      <c r="F770">
        <v>276.82283569630312</v>
      </c>
      <c r="G770">
        <v>252.9104684417982</v>
      </c>
      <c r="H770">
        <v>273.75328556633104</v>
      </c>
      <c r="I770">
        <v>285.07078382285061</v>
      </c>
      <c r="J770">
        <v>287.85963381507486</v>
      </c>
      <c r="K770">
        <v>320.39813159579086</v>
      </c>
      <c r="L770">
        <v>378.11370304608892</v>
      </c>
    </row>
    <row r="771" spans="1:12" x14ac:dyDescent="0.25">
      <c r="A771">
        <v>255.27759879015301</v>
      </c>
      <c r="B771">
        <v>276.5858572726662</v>
      </c>
      <c r="C771">
        <v>254.22492353182437</v>
      </c>
      <c r="D771">
        <v>232.33175346646945</v>
      </c>
      <c r="E771">
        <v>296.04742117600119</v>
      </c>
      <c r="F771">
        <v>275.43968951712048</v>
      </c>
      <c r="G771">
        <v>280.25526587949838</v>
      </c>
      <c r="H771">
        <v>295.02696157931484</v>
      </c>
      <c r="I771">
        <v>308.52501412719431</v>
      </c>
      <c r="J771">
        <v>306.33761552269948</v>
      </c>
      <c r="K771">
        <v>335.79408413123394</v>
      </c>
      <c r="L771">
        <v>412.7530230552664</v>
      </c>
    </row>
    <row r="772" spans="1:12" x14ac:dyDescent="0.25">
      <c r="A772">
        <v>251.40090719350385</v>
      </c>
      <c r="B772">
        <v>278.14944338497895</v>
      </c>
      <c r="C772">
        <v>247.92931410639923</v>
      </c>
      <c r="D772">
        <v>247.06731964139036</v>
      </c>
      <c r="E772">
        <v>302.94733055385689</v>
      </c>
      <c r="F772">
        <v>271.54587023590403</v>
      </c>
      <c r="G772">
        <v>289.11623363091138</v>
      </c>
      <c r="H772">
        <v>285.62805860786534</v>
      </c>
      <c r="I772">
        <v>317.63285700548892</v>
      </c>
      <c r="J772">
        <v>341.441964400958</v>
      </c>
      <c r="K772">
        <v>366.50305035014873</v>
      </c>
      <c r="L772">
        <v>426.09076707195015</v>
      </c>
    </row>
    <row r="773" spans="1:12" x14ac:dyDescent="0.25">
      <c r="A773">
        <v>250.15968779692935</v>
      </c>
      <c r="B773">
        <v>277.55157461481292</v>
      </c>
      <c r="C773">
        <v>234.9332115339779</v>
      </c>
      <c r="D773">
        <v>232.09042714616407</v>
      </c>
      <c r="E773">
        <v>280.40530441482207</v>
      </c>
      <c r="F773">
        <v>258.60714564887087</v>
      </c>
      <c r="G773">
        <v>278.26502900375539</v>
      </c>
      <c r="H773">
        <v>272.14065377381661</v>
      </c>
      <c r="I773">
        <v>295.689515653255</v>
      </c>
      <c r="J773">
        <v>325.95953125509874</v>
      </c>
      <c r="K773">
        <v>346.40562876298242</v>
      </c>
      <c r="L773">
        <v>393.02705794735306</v>
      </c>
    </row>
    <row r="774" spans="1:12" x14ac:dyDescent="0.25">
      <c r="A774">
        <v>234.3293009898963</v>
      </c>
      <c r="B774">
        <v>270.89164622572736</v>
      </c>
      <c r="C774">
        <v>238.72822639866524</v>
      </c>
      <c r="D774">
        <v>232.21257293520171</v>
      </c>
      <c r="E774">
        <v>259.2145794341688</v>
      </c>
      <c r="F774">
        <v>251.98443367578844</v>
      </c>
      <c r="G774">
        <v>239.09511803893966</v>
      </c>
      <c r="H774">
        <v>259.91790808095232</v>
      </c>
      <c r="I774">
        <v>279.45443260289431</v>
      </c>
      <c r="J774">
        <v>280.57109082955719</v>
      </c>
      <c r="K774">
        <v>299.53519216764761</v>
      </c>
      <c r="L774">
        <v>344.28977619114897</v>
      </c>
    </row>
    <row r="775" spans="1:12" x14ac:dyDescent="0.25">
      <c r="A775">
        <v>238.87594301956</v>
      </c>
      <c r="B775">
        <v>236.69549227525172</v>
      </c>
      <c r="C775">
        <v>223.82443931902742</v>
      </c>
      <c r="D775">
        <v>230.22194089098704</v>
      </c>
      <c r="E775">
        <v>268.092157379649</v>
      </c>
      <c r="F775">
        <v>230.82730552608942</v>
      </c>
      <c r="G775">
        <v>223.40960547882315</v>
      </c>
      <c r="H775">
        <v>249.44434529631289</v>
      </c>
      <c r="I775">
        <v>255.38282110737106</v>
      </c>
      <c r="J775">
        <v>264.8739231279755</v>
      </c>
      <c r="K775">
        <v>281.74461612731454</v>
      </c>
      <c r="L775">
        <v>331.26213832479601</v>
      </c>
    </row>
    <row r="776" spans="1:12" x14ac:dyDescent="0.25">
      <c r="A776">
        <v>258.24800107272614</v>
      </c>
      <c r="B776">
        <v>264.1783425163942</v>
      </c>
      <c r="C776">
        <v>258.13594548103879</v>
      </c>
      <c r="D776">
        <v>261.86429627535716</v>
      </c>
      <c r="E776">
        <v>281.0487247225937</v>
      </c>
      <c r="F776">
        <v>251.23867721144526</v>
      </c>
      <c r="G776">
        <v>282.96728365904119</v>
      </c>
      <c r="H776">
        <v>296.7975646493955</v>
      </c>
      <c r="I776">
        <v>302.01217594481108</v>
      </c>
      <c r="J776">
        <v>314.96034443114473</v>
      </c>
      <c r="K776">
        <v>321.42783754181619</v>
      </c>
      <c r="L776">
        <v>408.79734715223162</v>
      </c>
    </row>
    <row r="777" spans="1:12" x14ac:dyDescent="0.25">
      <c r="A777">
        <v>243.10120236420283</v>
      </c>
      <c r="B777">
        <v>276.90978938905164</v>
      </c>
      <c r="C777">
        <v>242.42702434070122</v>
      </c>
      <c r="D777">
        <v>246.81688816427993</v>
      </c>
      <c r="E777">
        <v>300.29841744183562</v>
      </c>
      <c r="F777">
        <v>252.39114274515686</v>
      </c>
      <c r="G777">
        <v>262.84539452763175</v>
      </c>
      <c r="H777">
        <v>243.72646733702493</v>
      </c>
      <c r="I777">
        <v>300.73996006838797</v>
      </c>
      <c r="J777">
        <v>318.55807493518051</v>
      </c>
      <c r="K777">
        <v>316.97330104448235</v>
      </c>
      <c r="L777">
        <v>379.05774970570195</v>
      </c>
    </row>
    <row r="778" spans="1:12" x14ac:dyDescent="0.25">
      <c r="A778">
        <v>242.10494502753704</v>
      </c>
      <c r="B778">
        <v>239.68672559174976</v>
      </c>
      <c r="C778">
        <v>232.13572281403265</v>
      </c>
      <c r="D778">
        <v>222.87160902593826</v>
      </c>
      <c r="E778">
        <v>244.73964153718921</v>
      </c>
      <c r="F778">
        <v>252.24289684035782</v>
      </c>
      <c r="G778">
        <v>244.79905512101365</v>
      </c>
      <c r="H778">
        <v>244.38544353738607</v>
      </c>
      <c r="I778">
        <v>257.65447194941339</v>
      </c>
      <c r="J778">
        <v>268.81851135709474</v>
      </c>
      <c r="K778">
        <v>297.93114355255238</v>
      </c>
      <c r="L778">
        <v>322.38103067584382</v>
      </c>
    </row>
    <row r="779" spans="1:12" x14ac:dyDescent="0.25">
      <c r="A779">
        <v>244.54980342878466</v>
      </c>
      <c r="B779">
        <v>255.71208830239567</v>
      </c>
      <c r="C779">
        <v>218.87064928254901</v>
      </c>
      <c r="D779">
        <v>236.1327238731001</v>
      </c>
      <c r="E779">
        <v>271.10704128662462</v>
      </c>
      <c r="F779">
        <v>230.89323554936536</v>
      </c>
      <c r="G779">
        <v>250.3764575564561</v>
      </c>
      <c r="H779">
        <v>250.40413022998285</v>
      </c>
      <c r="I779">
        <v>276.3654576234714</v>
      </c>
      <c r="J779">
        <v>280.24928075320332</v>
      </c>
      <c r="K779">
        <v>300.99715691276464</v>
      </c>
      <c r="L779">
        <v>379.20243194211082</v>
      </c>
    </row>
    <row r="780" spans="1:12" x14ac:dyDescent="0.25">
      <c r="A780">
        <v>233.17898148779165</v>
      </c>
      <c r="B780">
        <v>254.61657316257174</v>
      </c>
      <c r="C780">
        <v>236.86798835760203</v>
      </c>
      <c r="D780">
        <v>245.98198282802008</v>
      </c>
      <c r="E780">
        <v>275.13477592979842</v>
      </c>
      <c r="F780">
        <v>250.78320293219124</v>
      </c>
      <c r="G780">
        <v>246.51523826927775</v>
      </c>
      <c r="H780">
        <v>270.35088658160777</v>
      </c>
      <c r="I780">
        <v>293.03136867017827</v>
      </c>
      <c r="J780">
        <v>283.52413805333077</v>
      </c>
      <c r="K780">
        <v>312.68313729588692</v>
      </c>
      <c r="L780">
        <v>365.76535484329139</v>
      </c>
    </row>
    <row r="781" spans="1:12" x14ac:dyDescent="0.25">
      <c r="A781">
        <v>250.60713108657902</v>
      </c>
      <c r="B781">
        <v>272.24708647654126</v>
      </c>
      <c r="C781">
        <v>233.66617690710967</v>
      </c>
      <c r="D781">
        <v>246.38138571362759</v>
      </c>
      <c r="E781">
        <v>289.30360212351144</v>
      </c>
      <c r="F781">
        <v>265.11456977797246</v>
      </c>
      <c r="G781">
        <v>259.02437755286269</v>
      </c>
      <c r="H781">
        <v>264.64420232482217</v>
      </c>
      <c r="I781">
        <v>292.33217682364375</v>
      </c>
      <c r="J781">
        <v>326.67484169700032</v>
      </c>
      <c r="K781">
        <v>340.56711229333433</v>
      </c>
      <c r="L781">
        <v>393.24626079411155</v>
      </c>
    </row>
    <row r="782" spans="1:12" x14ac:dyDescent="0.25">
      <c r="A782">
        <v>265.19591694093185</v>
      </c>
      <c r="B782">
        <v>272.99803903650695</v>
      </c>
      <c r="C782">
        <v>250.35977960982382</v>
      </c>
      <c r="D782">
        <v>262.95038499285448</v>
      </c>
      <c r="E782">
        <v>319.75432572250173</v>
      </c>
      <c r="F782">
        <v>265.42415045041128</v>
      </c>
      <c r="G782">
        <v>269.47480013812344</v>
      </c>
      <c r="H782">
        <v>298.49509617498813</v>
      </c>
      <c r="I782">
        <v>309.67086103615964</v>
      </c>
      <c r="J782">
        <v>333.87464006792788</v>
      </c>
      <c r="K782">
        <v>345.59968830146482</v>
      </c>
      <c r="L782">
        <v>420.77776842531222</v>
      </c>
    </row>
    <row r="783" spans="1:12" x14ac:dyDescent="0.25">
      <c r="A783">
        <v>255.70091544961048</v>
      </c>
      <c r="B783">
        <v>260.28456905631384</v>
      </c>
      <c r="C783">
        <v>232.32550866220959</v>
      </c>
      <c r="D783">
        <v>233.7287561186115</v>
      </c>
      <c r="E783">
        <v>273.22016635553683</v>
      </c>
      <c r="F783">
        <v>239.84848354412586</v>
      </c>
      <c r="G783">
        <v>238.09258074792157</v>
      </c>
      <c r="H783">
        <v>263.79307697664547</v>
      </c>
      <c r="I783">
        <v>266.60938915661484</v>
      </c>
      <c r="J783">
        <v>279.71208710749698</v>
      </c>
      <c r="K783">
        <v>312.85388251714767</v>
      </c>
      <c r="L783">
        <v>351.71452674163777</v>
      </c>
    </row>
    <row r="784" spans="1:12" x14ac:dyDescent="0.25">
      <c r="A784">
        <v>251.95664872468433</v>
      </c>
      <c r="B784">
        <v>285.65771697050951</v>
      </c>
      <c r="C784">
        <v>255.09243589126854</v>
      </c>
      <c r="D784">
        <v>244.0011208473606</v>
      </c>
      <c r="E784">
        <v>292.69754546769394</v>
      </c>
      <c r="F784">
        <v>261.78694633222068</v>
      </c>
      <c r="G784">
        <v>262.01943607916479</v>
      </c>
      <c r="H784">
        <v>283.97927674013823</v>
      </c>
      <c r="I784">
        <v>323.00245847701905</v>
      </c>
      <c r="J784">
        <v>329.27199235903873</v>
      </c>
      <c r="K784">
        <v>341.9242604765343</v>
      </c>
      <c r="L784">
        <v>417.78264062877287</v>
      </c>
    </row>
    <row r="785" spans="1:12" x14ac:dyDescent="0.25">
      <c r="A785">
        <v>255.93529698050787</v>
      </c>
      <c r="B785">
        <v>264.2154782935188</v>
      </c>
      <c r="C785">
        <v>261.28612449793962</v>
      </c>
      <c r="D785">
        <v>249.59571218517135</v>
      </c>
      <c r="E785">
        <v>294.79660238101303</v>
      </c>
      <c r="F785">
        <v>259.7363414279975</v>
      </c>
      <c r="G785">
        <v>281.29447246718649</v>
      </c>
      <c r="H785">
        <v>291.62985334125619</v>
      </c>
      <c r="I785">
        <v>311.21690199689692</v>
      </c>
      <c r="J785">
        <v>320.38652204912512</v>
      </c>
      <c r="K785">
        <v>356.23191081912154</v>
      </c>
      <c r="L785">
        <v>416.52126624386108</v>
      </c>
    </row>
    <row r="786" spans="1:12" x14ac:dyDescent="0.25">
      <c r="A786">
        <v>246.58405276911671</v>
      </c>
      <c r="B786">
        <v>261.75674357443546</v>
      </c>
      <c r="C786">
        <v>229.67567022651332</v>
      </c>
      <c r="D786">
        <v>230.96803405865325</v>
      </c>
      <c r="E786">
        <v>282.02287313280368</v>
      </c>
      <c r="F786">
        <v>233.53278881071071</v>
      </c>
      <c r="G786">
        <v>248.89279065489259</v>
      </c>
      <c r="H786">
        <v>260.17407824028152</v>
      </c>
      <c r="I786">
        <v>274.72091940529469</v>
      </c>
      <c r="J786">
        <v>283.51687008831357</v>
      </c>
      <c r="K786">
        <v>297.72610871955044</v>
      </c>
      <c r="L786">
        <v>359.08381866139132</v>
      </c>
    </row>
    <row r="787" spans="1:12" x14ac:dyDescent="0.25">
      <c r="A787">
        <v>234.14540637018015</v>
      </c>
      <c r="B787">
        <v>259.53522792416084</v>
      </c>
      <c r="C787">
        <v>223.25586373951364</v>
      </c>
      <c r="D787">
        <v>229.58701800483891</v>
      </c>
      <c r="E787">
        <v>250.31223166626793</v>
      </c>
      <c r="F787">
        <v>235.95168573045129</v>
      </c>
      <c r="G787">
        <v>239.3035912533125</v>
      </c>
      <c r="H787">
        <v>228.01736761948649</v>
      </c>
      <c r="I787">
        <v>266.88548012733054</v>
      </c>
      <c r="J787">
        <v>282.03362075491981</v>
      </c>
      <c r="K787">
        <v>278.29878633106779</v>
      </c>
      <c r="L787">
        <v>329.03115208184971</v>
      </c>
    </row>
    <row r="788" spans="1:12" x14ac:dyDescent="0.25">
      <c r="A788">
        <v>239.40535309314615</v>
      </c>
      <c r="B788">
        <v>262.81395600441033</v>
      </c>
      <c r="C788">
        <v>244.57460678322579</v>
      </c>
      <c r="D788">
        <v>242.88332916957975</v>
      </c>
      <c r="E788">
        <v>294.39864462650809</v>
      </c>
      <c r="F788">
        <v>250.33696046563443</v>
      </c>
      <c r="G788">
        <v>273.8894331574798</v>
      </c>
      <c r="H788">
        <v>274.43429983595365</v>
      </c>
      <c r="I788">
        <v>296.6618687485439</v>
      </c>
      <c r="J788">
        <v>322.63173266030128</v>
      </c>
      <c r="K788">
        <v>333.0370787587272</v>
      </c>
      <c r="L788">
        <v>392.96460838121641</v>
      </c>
    </row>
    <row r="789" spans="1:12" x14ac:dyDescent="0.25">
      <c r="A789">
        <v>243.83525275366088</v>
      </c>
      <c r="B789">
        <v>254.35455587319024</v>
      </c>
      <c r="C789">
        <v>225.13588637998441</v>
      </c>
      <c r="D789">
        <v>224.77031379064167</v>
      </c>
      <c r="E789">
        <v>279.62358419447622</v>
      </c>
      <c r="F789">
        <v>233.37329495538978</v>
      </c>
      <c r="G789">
        <v>242.08549618582111</v>
      </c>
      <c r="H789">
        <v>229.32722703888189</v>
      </c>
      <c r="I789">
        <v>252.49201056081438</v>
      </c>
      <c r="J789">
        <v>269.7767984379401</v>
      </c>
      <c r="K789">
        <v>280.56708423907946</v>
      </c>
      <c r="L789">
        <v>324.02988589844688</v>
      </c>
    </row>
    <row r="790" spans="1:12" x14ac:dyDescent="0.25">
      <c r="A790">
        <v>256.63025072360108</v>
      </c>
      <c r="B790">
        <v>261.58479528274916</v>
      </c>
      <c r="C790">
        <v>251.21622165562525</v>
      </c>
      <c r="D790">
        <v>252.18006819979132</v>
      </c>
      <c r="E790">
        <v>292.67417683499821</v>
      </c>
      <c r="F790">
        <v>247.52769361178295</v>
      </c>
      <c r="G790">
        <v>258.78184039063194</v>
      </c>
      <c r="H790">
        <v>251.14231912077733</v>
      </c>
      <c r="I790">
        <v>257.87820766069245</v>
      </c>
      <c r="J790">
        <v>301.07372581646098</v>
      </c>
      <c r="K790">
        <v>301.15197180540423</v>
      </c>
      <c r="L790">
        <v>370.98551071230304</v>
      </c>
    </row>
    <row r="791" spans="1:12" x14ac:dyDescent="0.25">
      <c r="A791">
        <v>232.0670486906325</v>
      </c>
      <c r="B791">
        <v>241.96798378335257</v>
      </c>
      <c r="C791">
        <v>245.10493158745385</v>
      </c>
      <c r="D791">
        <v>218.03143806122353</v>
      </c>
      <c r="E791">
        <v>256.53681858955753</v>
      </c>
      <c r="F791">
        <v>234.48183416541133</v>
      </c>
      <c r="G791">
        <v>236.55929621166834</v>
      </c>
      <c r="H791">
        <v>234.04190438053118</v>
      </c>
      <c r="I791">
        <v>252.22166290100398</v>
      </c>
      <c r="J791">
        <v>261.98730485845431</v>
      </c>
      <c r="K791">
        <v>267.56659129220316</v>
      </c>
      <c r="L791">
        <v>308.36768663249563</v>
      </c>
    </row>
    <row r="792" spans="1:12" x14ac:dyDescent="0.25">
      <c r="A792">
        <v>236.50210545873045</v>
      </c>
      <c r="B792">
        <v>268.25358489872929</v>
      </c>
      <c r="C792">
        <v>252.58274936898806</v>
      </c>
      <c r="D792">
        <v>253.32131873847192</v>
      </c>
      <c r="E792">
        <v>286.15760317370047</v>
      </c>
      <c r="F792">
        <v>259.1799747195289</v>
      </c>
      <c r="G792">
        <v>287.84321512103855</v>
      </c>
      <c r="H792">
        <v>284.45524196613434</v>
      </c>
      <c r="I792">
        <v>307.96069362403182</v>
      </c>
      <c r="J792">
        <v>336.41926941510104</v>
      </c>
      <c r="K792">
        <v>334.46677338076989</v>
      </c>
      <c r="L792">
        <v>397.95597072550163</v>
      </c>
    </row>
    <row r="793" spans="1:12" x14ac:dyDescent="0.25">
      <c r="A793">
        <v>239.59418556499776</v>
      </c>
      <c r="B793">
        <v>272.54789744523606</v>
      </c>
      <c r="C793">
        <v>244.88192007746545</v>
      </c>
      <c r="D793">
        <v>239.20070080242013</v>
      </c>
      <c r="E793">
        <v>267.12216338844524</v>
      </c>
      <c r="F793">
        <v>253.78601127008363</v>
      </c>
      <c r="G793">
        <v>264.29167697409946</v>
      </c>
      <c r="H793">
        <v>269.10424616241784</v>
      </c>
      <c r="I793">
        <v>307.55110294562519</v>
      </c>
      <c r="J793">
        <v>305.66471942604579</v>
      </c>
      <c r="K793">
        <v>314.87399246239039</v>
      </c>
      <c r="L793">
        <v>371.69524000324088</v>
      </c>
    </row>
    <row r="794" spans="1:12" x14ac:dyDescent="0.25">
      <c r="A794">
        <v>238.9713883796687</v>
      </c>
      <c r="B794">
        <v>247.73379884131245</v>
      </c>
      <c r="C794">
        <v>237.62345226704167</v>
      </c>
      <c r="D794">
        <v>226.35414780544338</v>
      </c>
      <c r="E794">
        <v>276.56873021806001</v>
      </c>
      <c r="F794">
        <v>240.32381277912049</v>
      </c>
      <c r="G794">
        <v>247.3352079000413</v>
      </c>
      <c r="H794">
        <v>265.52636965817862</v>
      </c>
      <c r="I794">
        <v>283.27807346443655</v>
      </c>
      <c r="J794">
        <v>289.75373236707242</v>
      </c>
      <c r="K794">
        <v>298.84874499695138</v>
      </c>
      <c r="L794">
        <v>372.73717531288935</v>
      </c>
    </row>
    <row r="795" spans="1:12" x14ac:dyDescent="0.25">
      <c r="A795">
        <v>256.37069795930751</v>
      </c>
      <c r="B795">
        <v>271.1463015292137</v>
      </c>
      <c r="C795">
        <v>259.49894231253853</v>
      </c>
      <c r="D795">
        <v>259.1129055497351</v>
      </c>
      <c r="E795">
        <v>293.20296754120835</v>
      </c>
      <c r="F795">
        <v>252.82724598413876</v>
      </c>
      <c r="G795">
        <v>269.52781812728915</v>
      </c>
      <c r="H795">
        <v>278.13036290044664</v>
      </c>
      <c r="I795">
        <v>303.32412706313238</v>
      </c>
      <c r="J795">
        <v>322.64050854234335</v>
      </c>
      <c r="K795">
        <v>337.05696138608187</v>
      </c>
      <c r="L795">
        <v>401.25979934781992</v>
      </c>
    </row>
    <row r="796" spans="1:12" x14ac:dyDescent="0.25">
      <c r="A796">
        <v>248.68398289009332</v>
      </c>
      <c r="B796">
        <v>249.34406877229981</v>
      </c>
      <c r="C796">
        <v>258.17992426428788</v>
      </c>
      <c r="D796">
        <v>252.64208198703588</v>
      </c>
      <c r="E796">
        <v>289.19266557101116</v>
      </c>
      <c r="F796">
        <v>251.03792367973531</v>
      </c>
      <c r="G796">
        <v>242.37953281905686</v>
      </c>
      <c r="H796">
        <v>262.57246597066541</v>
      </c>
      <c r="I796">
        <v>286.80609971780848</v>
      </c>
      <c r="J796">
        <v>287.35547694154496</v>
      </c>
      <c r="K796">
        <v>308.07920936406975</v>
      </c>
      <c r="L796">
        <v>349.49133977116003</v>
      </c>
    </row>
    <row r="797" spans="1:12" x14ac:dyDescent="0.25">
      <c r="A797">
        <v>254.70982254344545</v>
      </c>
      <c r="B797">
        <v>257.34906634195659</v>
      </c>
      <c r="C797">
        <v>230.54543995641549</v>
      </c>
      <c r="D797">
        <v>246.33725021419815</v>
      </c>
      <c r="E797">
        <v>278.32215032965939</v>
      </c>
      <c r="F797">
        <v>248.90235809392061</v>
      </c>
      <c r="G797">
        <v>264.23013015749632</v>
      </c>
      <c r="H797">
        <v>264.61181242023594</v>
      </c>
      <c r="I797">
        <v>270.54799744402709</v>
      </c>
      <c r="J797">
        <v>299.05855927440467</v>
      </c>
      <c r="K797">
        <v>310.87611062024274</v>
      </c>
      <c r="L797">
        <v>360.81801193825646</v>
      </c>
    </row>
    <row r="798" spans="1:12" x14ac:dyDescent="0.25">
      <c r="A798">
        <v>246.29780160164847</v>
      </c>
      <c r="B798">
        <v>258.00988903634953</v>
      </c>
      <c r="C798">
        <v>256.16126127530356</v>
      </c>
      <c r="D798">
        <v>234.89041471701842</v>
      </c>
      <c r="E798">
        <v>306.86619286503924</v>
      </c>
      <c r="F798">
        <v>241.34664980614511</v>
      </c>
      <c r="G798">
        <v>265.0010027529479</v>
      </c>
      <c r="H798">
        <v>267.03950010276463</v>
      </c>
      <c r="I798">
        <v>296.62579784519772</v>
      </c>
      <c r="J798">
        <v>312.49161722031067</v>
      </c>
      <c r="K798">
        <v>345.99944425439571</v>
      </c>
      <c r="L798">
        <v>395.38511711214755</v>
      </c>
    </row>
    <row r="799" spans="1:12" x14ac:dyDescent="0.25">
      <c r="A799">
        <v>243.10217100204824</v>
      </c>
      <c r="B799">
        <v>263.88101102770247</v>
      </c>
      <c r="C799">
        <v>245.43129756647755</v>
      </c>
      <c r="D799">
        <v>237.00446316609808</v>
      </c>
      <c r="E799">
        <v>283.78000380584695</v>
      </c>
      <c r="F799">
        <v>252.56502151432565</v>
      </c>
      <c r="G799">
        <v>268.04613572693131</v>
      </c>
      <c r="H799">
        <v>260.98256708838949</v>
      </c>
      <c r="I799">
        <v>286.710568960741</v>
      </c>
      <c r="J799">
        <v>315.37825282309063</v>
      </c>
      <c r="K799">
        <v>326.46671624547537</v>
      </c>
      <c r="L799">
        <v>388.72608382414228</v>
      </c>
    </row>
    <row r="800" spans="1:12" x14ac:dyDescent="0.25">
      <c r="A800">
        <v>232.94950125730054</v>
      </c>
      <c r="B800">
        <v>264.67338052682993</v>
      </c>
      <c r="C800">
        <v>244.39697618348234</v>
      </c>
      <c r="D800">
        <v>222.75951926268635</v>
      </c>
      <c r="E800">
        <v>284.99749202518046</v>
      </c>
      <c r="F800">
        <v>236.42681577123867</v>
      </c>
      <c r="G800">
        <v>260.83050295206277</v>
      </c>
      <c r="H800">
        <v>250.91699541421573</v>
      </c>
      <c r="I800">
        <v>290.76739010335967</v>
      </c>
      <c r="J800">
        <v>297.56489556454295</v>
      </c>
      <c r="K800">
        <v>315.84182463751949</v>
      </c>
      <c r="L800">
        <v>359.57697929582463</v>
      </c>
    </row>
    <row r="801" spans="1:12" x14ac:dyDescent="0.25">
      <c r="A801">
        <v>244.27347661254336</v>
      </c>
      <c r="B801">
        <v>273.02271012334285</v>
      </c>
      <c r="C801">
        <v>253.19981535900189</v>
      </c>
      <c r="D801">
        <v>252.51431242007538</v>
      </c>
      <c r="E801">
        <v>290.92512377314324</v>
      </c>
      <c r="F801">
        <v>250.94696185524322</v>
      </c>
      <c r="G801">
        <v>285.89618860825726</v>
      </c>
      <c r="H801">
        <v>276.585040946616</v>
      </c>
      <c r="I801">
        <v>304.41545129193025</v>
      </c>
      <c r="J801">
        <v>329.60259327667768</v>
      </c>
      <c r="K801">
        <v>339.03690157723872</v>
      </c>
      <c r="L801">
        <v>404.2019741840175</v>
      </c>
    </row>
    <row r="802" spans="1:12" x14ac:dyDescent="0.25">
      <c r="A802">
        <v>236.41896095098141</v>
      </c>
      <c r="B802">
        <v>258.50682337640961</v>
      </c>
      <c r="C802">
        <v>238.21447194349511</v>
      </c>
      <c r="D802">
        <v>240.66274595094973</v>
      </c>
      <c r="E802">
        <v>283.04157722276477</v>
      </c>
      <c r="F802">
        <v>247.63539165855406</v>
      </c>
      <c r="G802">
        <v>247.69635939167253</v>
      </c>
      <c r="H802">
        <v>277.19942153081672</v>
      </c>
      <c r="I802">
        <v>286.13409862541852</v>
      </c>
      <c r="J802">
        <v>303.09839898595499</v>
      </c>
      <c r="K802">
        <v>323.19963874033994</v>
      </c>
      <c r="L802">
        <v>375.00053954207135</v>
      </c>
    </row>
    <row r="803" spans="1:12" x14ac:dyDescent="0.25">
      <c r="A803">
        <v>259.07886354537447</v>
      </c>
      <c r="B803">
        <v>265.04458334321811</v>
      </c>
      <c r="C803">
        <v>237.24916684786521</v>
      </c>
      <c r="D803">
        <v>248.38241268229228</v>
      </c>
      <c r="E803">
        <v>278.06449188796472</v>
      </c>
      <c r="F803">
        <v>229.14395096647047</v>
      </c>
      <c r="G803">
        <v>255.64603863840301</v>
      </c>
      <c r="H803">
        <v>248.76164771706095</v>
      </c>
      <c r="I803">
        <v>278.39726297533372</v>
      </c>
      <c r="J803">
        <v>276.18779616435626</v>
      </c>
      <c r="K803">
        <v>293.06515377306738</v>
      </c>
      <c r="L803">
        <v>358.50492084482056</v>
      </c>
    </row>
    <row r="804" spans="1:12" x14ac:dyDescent="0.25">
      <c r="A804">
        <v>257.10759116386339</v>
      </c>
      <c r="B804">
        <v>268.53291554184381</v>
      </c>
      <c r="C804">
        <v>274.84200318329761</v>
      </c>
      <c r="D804">
        <v>248.49606795157587</v>
      </c>
      <c r="E804">
        <v>302.14106944842342</v>
      </c>
      <c r="F804">
        <v>252.42887551082393</v>
      </c>
      <c r="G804">
        <v>263.98789129433868</v>
      </c>
      <c r="H804">
        <v>290.78773791835516</v>
      </c>
      <c r="I804">
        <v>306.98589712856489</v>
      </c>
      <c r="J804">
        <v>331.95673813480192</v>
      </c>
      <c r="K804">
        <v>338.85078410744637</v>
      </c>
      <c r="L804">
        <v>407.43765461224217</v>
      </c>
    </row>
    <row r="805" spans="1:12" x14ac:dyDescent="0.25">
      <c r="A805">
        <v>262.94142256276905</v>
      </c>
      <c r="B805">
        <v>263.52365947783323</v>
      </c>
      <c r="C805">
        <v>255.11570353654088</v>
      </c>
      <c r="D805">
        <v>255.19671957488526</v>
      </c>
      <c r="E805">
        <v>295.01426625367912</v>
      </c>
      <c r="F805">
        <v>248.07952305068486</v>
      </c>
      <c r="G805">
        <v>254.1514244027577</v>
      </c>
      <c r="H805">
        <v>264.07655793401381</v>
      </c>
      <c r="I805">
        <v>309.90180868313178</v>
      </c>
      <c r="J805">
        <v>311.69896121258438</v>
      </c>
      <c r="K805">
        <v>319.61124727292651</v>
      </c>
      <c r="L805">
        <v>408.54912461850518</v>
      </c>
    </row>
    <row r="806" spans="1:12" x14ac:dyDescent="0.25">
      <c r="A806">
        <v>255.92314949891272</v>
      </c>
      <c r="B806">
        <v>262.89312754469876</v>
      </c>
      <c r="C806">
        <v>241.29309504959673</v>
      </c>
      <c r="D806">
        <v>243.71442507287034</v>
      </c>
      <c r="E806">
        <v>279.18783676852928</v>
      </c>
      <c r="F806">
        <v>247.50770438604326</v>
      </c>
      <c r="G806">
        <v>251.49972302106355</v>
      </c>
      <c r="H806">
        <v>272.10425720515644</v>
      </c>
      <c r="I806">
        <v>285.67896009615112</v>
      </c>
      <c r="J806">
        <v>299.92889104654768</v>
      </c>
      <c r="K806">
        <v>320.33466799062938</v>
      </c>
      <c r="L806">
        <v>377.04053313820299</v>
      </c>
    </row>
    <row r="807" spans="1:12" x14ac:dyDescent="0.25">
      <c r="A807">
        <v>239.69245925799694</v>
      </c>
      <c r="B807">
        <v>268.96098568400515</v>
      </c>
      <c r="C807">
        <v>227.63631737730336</v>
      </c>
      <c r="D807">
        <v>216.7105423325651</v>
      </c>
      <c r="E807">
        <v>264.62413942026723</v>
      </c>
      <c r="F807">
        <v>230.71278012044564</v>
      </c>
      <c r="G807">
        <v>243.82357040380046</v>
      </c>
      <c r="H807">
        <v>253.06311437440348</v>
      </c>
      <c r="I807">
        <v>274.1325914737742</v>
      </c>
      <c r="J807">
        <v>265.53031477191996</v>
      </c>
      <c r="K807">
        <v>290.43915973536207</v>
      </c>
      <c r="L807">
        <v>330.64709745475517</v>
      </c>
    </row>
    <row r="808" spans="1:12" x14ac:dyDescent="0.25">
      <c r="A808">
        <v>232.21186368663268</v>
      </c>
      <c r="B808">
        <v>255.03874547474555</v>
      </c>
      <c r="C808">
        <v>238.27644777549472</v>
      </c>
      <c r="D808">
        <v>232.23648793459103</v>
      </c>
      <c r="E808">
        <v>270.6599682452262</v>
      </c>
      <c r="F808">
        <v>220.22268403861688</v>
      </c>
      <c r="G808">
        <v>250.28463123342519</v>
      </c>
      <c r="H808">
        <v>238.4312850954195</v>
      </c>
      <c r="I808">
        <v>264.30603297937211</v>
      </c>
      <c r="J808">
        <v>273.69279551087931</v>
      </c>
      <c r="K808">
        <v>268.93992225897648</v>
      </c>
      <c r="L808">
        <v>327.95626024224458</v>
      </c>
    </row>
    <row r="809" spans="1:12" x14ac:dyDescent="0.25">
      <c r="A809">
        <v>240.89988136135634</v>
      </c>
      <c r="B809">
        <v>273.27638108301994</v>
      </c>
      <c r="C809">
        <v>243.26497981821305</v>
      </c>
      <c r="D809">
        <v>245.01777967816369</v>
      </c>
      <c r="E809">
        <v>283.30330079191771</v>
      </c>
      <c r="F809">
        <v>263.20336117848836</v>
      </c>
      <c r="G809">
        <v>292.43026502990836</v>
      </c>
      <c r="H809">
        <v>274.53970091454573</v>
      </c>
      <c r="I809">
        <v>319.12765025932828</v>
      </c>
      <c r="J809">
        <v>314.43725012671268</v>
      </c>
      <c r="K809">
        <v>370.38488377616574</v>
      </c>
      <c r="L809">
        <v>390.56188570229114</v>
      </c>
    </row>
    <row r="810" spans="1:12" x14ac:dyDescent="0.25">
      <c r="A810">
        <v>240.37851451561195</v>
      </c>
      <c r="B810">
        <v>268.93001679778178</v>
      </c>
      <c r="C810">
        <v>233.89578236840282</v>
      </c>
      <c r="D810">
        <v>230.14595768372854</v>
      </c>
      <c r="E810">
        <v>267.74198278584441</v>
      </c>
      <c r="F810">
        <v>239.73074102215537</v>
      </c>
      <c r="G810">
        <v>231.23661561000102</v>
      </c>
      <c r="H810">
        <v>261.96105440489197</v>
      </c>
      <c r="I810">
        <v>269.16437827547043</v>
      </c>
      <c r="J810">
        <v>284.60578363042271</v>
      </c>
      <c r="K810">
        <v>293.85617976892252</v>
      </c>
      <c r="L810">
        <v>345.35585238686832</v>
      </c>
    </row>
    <row r="811" spans="1:12" x14ac:dyDescent="0.25">
      <c r="A811">
        <v>255.20027020893238</v>
      </c>
      <c r="B811">
        <v>271.43971559391287</v>
      </c>
      <c r="C811">
        <v>233.53373994474998</v>
      </c>
      <c r="D811">
        <v>232.98821924872209</v>
      </c>
      <c r="E811">
        <v>291.18156499563401</v>
      </c>
      <c r="F811">
        <v>249.03459741494635</v>
      </c>
      <c r="G811">
        <v>255.29359837671365</v>
      </c>
      <c r="H811">
        <v>259.89561875316531</v>
      </c>
      <c r="I811">
        <v>280.07576438899702</v>
      </c>
      <c r="J811">
        <v>294.90790195882278</v>
      </c>
      <c r="K811">
        <v>325.06504780894335</v>
      </c>
      <c r="L811">
        <v>369.4086861631676</v>
      </c>
    </row>
    <row r="812" spans="1:12" x14ac:dyDescent="0.25">
      <c r="A812">
        <v>259.51808032931973</v>
      </c>
      <c r="B812">
        <v>294.40518411819761</v>
      </c>
      <c r="C812">
        <v>242.19588685002876</v>
      </c>
      <c r="D812">
        <v>239.9878804968406</v>
      </c>
      <c r="E812">
        <v>293.42481233010977</v>
      </c>
      <c r="F812">
        <v>261.50669176372475</v>
      </c>
      <c r="G812">
        <v>255.07895538554055</v>
      </c>
      <c r="H812">
        <v>263.86177198509131</v>
      </c>
      <c r="I812">
        <v>277.2825791207585</v>
      </c>
      <c r="J812">
        <v>293.70947135303663</v>
      </c>
      <c r="K812">
        <v>309.98335313139415</v>
      </c>
      <c r="L812">
        <v>359.1649970905043</v>
      </c>
    </row>
    <row r="813" spans="1:12" x14ac:dyDescent="0.25">
      <c r="A813">
        <v>249.6742446844251</v>
      </c>
      <c r="B813">
        <v>256.40422560828426</v>
      </c>
      <c r="C813">
        <v>241.49557331549272</v>
      </c>
      <c r="D813">
        <v>221.18885563303672</v>
      </c>
      <c r="E813">
        <v>273.47629088459098</v>
      </c>
      <c r="F813">
        <v>249.62589709393467</v>
      </c>
      <c r="G813">
        <v>253.34177626734044</v>
      </c>
      <c r="H813">
        <v>247.66223718581719</v>
      </c>
      <c r="I813">
        <v>286.38087677864053</v>
      </c>
      <c r="J813">
        <v>285.65246596338949</v>
      </c>
      <c r="K813">
        <v>314.97772887223061</v>
      </c>
      <c r="L813">
        <v>355.28937009454927</v>
      </c>
    </row>
    <row r="814" spans="1:12" x14ac:dyDescent="0.25">
      <c r="A814">
        <v>229.99555751426533</v>
      </c>
      <c r="B814">
        <v>269.96517850593887</v>
      </c>
      <c r="C814">
        <v>232.07357863453561</v>
      </c>
      <c r="D814">
        <v>231.2123045932359</v>
      </c>
      <c r="E814">
        <v>282.77883174441376</v>
      </c>
      <c r="F814">
        <v>241.21593308720699</v>
      </c>
      <c r="G814">
        <v>252.36205277328961</v>
      </c>
      <c r="H814">
        <v>269.49882484348336</v>
      </c>
      <c r="I814">
        <v>294.81867387352014</v>
      </c>
      <c r="J814">
        <v>315.7755836627498</v>
      </c>
      <c r="K814">
        <v>321.23639925657886</v>
      </c>
      <c r="L814">
        <v>385.39997446402731</v>
      </c>
    </row>
    <row r="815" spans="1:12" x14ac:dyDescent="0.25">
      <c r="A815">
        <v>242.10750630519755</v>
      </c>
      <c r="B815">
        <v>271.22441435245202</v>
      </c>
      <c r="C815">
        <v>248.4969241615687</v>
      </c>
      <c r="D815">
        <v>241.44648115314675</v>
      </c>
      <c r="E815">
        <v>277.85185481708987</v>
      </c>
      <c r="F815">
        <v>243.96416245608887</v>
      </c>
      <c r="G815">
        <v>245.90626434269331</v>
      </c>
      <c r="H815">
        <v>280.27682492592061</v>
      </c>
      <c r="I815">
        <v>267.36951738712258</v>
      </c>
      <c r="J815">
        <v>303.56725014150925</v>
      </c>
      <c r="K815">
        <v>322.13569532354069</v>
      </c>
      <c r="L815">
        <v>352.92004532216311</v>
      </c>
    </row>
    <row r="816" spans="1:12" x14ac:dyDescent="0.25">
      <c r="A816">
        <v>241.70723660898705</v>
      </c>
      <c r="B816">
        <v>273.47240743775728</v>
      </c>
      <c r="C816">
        <v>252.06792977030557</v>
      </c>
      <c r="D816">
        <v>255.36030517602174</v>
      </c>
      <c r="E816">
        <v>299.04912825412237</v>
      </c>
      <c r="F816">
        <v>286.54694179223702</v>
      </c>
      <c r="G816">
        <v>301.23217004386282</v>
      </c>
      <c r="H816">
        <v>285.930786897931</v>
      </c>
      <c r="I816">
        <v>321.89871483192485</v>
      </c>
      <c r="J816">
        <v>344.60629637630899</v>
      </c>
      <c r="K816">
        <v>356.36102370221886</v>
      </c>
      <c r="L816">
        <v>436.0806595207672</v>
      </c>
    </row>
    <row r="817" spans="1:12" x14ac:dyDescent="0.25">
      <c r="A817">
        <v>242.45981535644947</v>
      </c>
      <c r="B817">
        <v>269.12781892426642</v>
      </c>
      <c r="C817">
        <v>228.99828663240555</v>
      </c>
      <c r="D817">
        <v>230.95327366397834</v>
      </c>
      <c r="E817">
        <v>275.49565645006209</v>
      </c>
      <c r="F817">
        <v>232.40084781132151</v>
      </c>
      <c r="G817">
        <v>242.20260742939428</v>
      </c>
      <c r="H817">
        <v>254.94207021080518</v>
      </c>
      <c r="I817">
        <v>265.2373268818634</v>
      </c>
      <c r="J817">
        <v>276.83054419838601</v>
      </c>
      <c r="K817">
        <v>295.32619126281526</v>
      </c>
      <c r="L817">
        <v>352.27142037138685</v>
      </c>
    </row>
    <row r="818" spans="1:12" x14ac:dyDescent="0.25">
      <c r="A818">
        <v>251.87674938101623</v>
      </c>
      <c r="B818">
        <v>262.41720699705672</v>
      </c>
      <c r="C818">
        <v>235.06800838727145</v>
      </c>
      <c r="D818">
        <v>241.01001156152196</v>
      </c>
      <c r="E818">
        <v>268.93839011029092</v>
      </c>
      <c r="F818">
        <v>224.1945148659251</v>
      </c>
      <c r="G818">
        <v>259.86980223335991</v>
      </c>
      <c r="H818">
        <v>246.12397088502246</v>
      </c>
      <c r="I818">
        <v>261.10295740141692</v>
      </c>
      <c r="J818">
        <v>299.95395554251945</v>
      </c>
      <c r="K818">
        <v>297.2454126139948</v>
      </c>
      <c r="L818">
        <v>343.97189217200508</v>
      </c>
    </row>
    <row r="819" spans="1:12" x14ac:dyDescent="0.25">
      <c r="A819">
        <v>241.25217638440233</v>
      </c>
      <c r="B819">
        <v>270.23254002172638</v>
      </c>
      <c r="C819">
        <v>254.07188541271228</v>
      </c>
      <c r="D819">
        <v>255.15061402603939</v>
      </c>
      <c r="E819">
        <v>266.60276533082839</v>
      </c>
      <c r="F819">
        <v>252.46533417535466</v>
      </c>
      <c r="G819">
        <v>270.06188575488972</v>
      </c>
      <c r="H819">
        <v>274.60555511482681</v>
      </c>
      <c r="I819">
        <v>282.52723049202808</v>
      </c>
      <c r="J819">
        <v>325.4571968532286</v>
      </c>
      <c r="K819">
        <v>324.95168636413098</v>
      </c>
      <c r="L819">
        <v>400.16015861642302</v>
      </c>
    </row>
    <row r="820" spans="1:12" x14ac:dyDescent="0.25">
      <c r="A820">
        <v>254.30128112559447</v>
      </c>
      <c r="B820">
        <v>277.21999617419522</v>
      </c>
      <c r="C820">
        <v>252.92928584176997</v>
      </c>
      <c r="D820">
        <v>249.60425196854973</v>
      </c>
      <c r="E820">
        <v>309.75461342308802</v>
      </c>
      <c r="F820">
        <v>269.05094531747034</v>
      </c>
      <c r="G820">
        <v>289.23690858643096</v>
      </c>
      <c r="H820">
        <v>295.59602972136679</v>
      </c>
      <c r="I820">
        <v>322.94194836309447</v>
      </c>
      <c r="J820">
        <v>358.73193146918419</v>
      </c>
      <c r="K820">
        <v>370.26645928158877</v>
      </c>
      <c r="L820">
        <v>450.22807259343733</v>
      </c>
    </row>
    <row r="821" spans="1:12" x14ac:dyDescent="0.25">
      <c r="A821">
        <v>258.76093877702641</v>
      </c>
      <c r="B821">
        <v>263.69507977888622</v>
      </c>
      <c r="C821">
        <v>263.00128846572204</v>
      </c>
      <c r="D821">
        <v>254.73483290534872</v>
      </c>
      <c r="E821">
        <v>286.52278977115395</v>
      </c>
      <c r="F821">
        <v>267.62647419096101</v>
      </c>
      <c r="G821">
        <v>283.12850719783006</v>
      </c>
      <c r="H821">
        <v>270.39138836874554</v>
      </c>
      <c r="I821">
        <v>315.52541576466376</v>
      </c>
      <c r="J821">
        <v>314.43759707718846</v>
      </c>
      <c r="K821">
        <v>344.80986660159897</v>
      </c>
      <c r="L821">
        <v>393.97299188950461</v>
      </c>
    </row>
    <row r="822" spans="1:12" x14ac:dyDescent="0.25">
      <c r="A822">
        <v>263.58975685336935</v>
      </c>
      <c r="B822">
        <v>270.78916136557177</v>
      </c>
      <c r="C822">
        <v>246.27087189932959</v>
      </c>
      <c r="D822">
        <v>245.74208636984395</v>
      </c>
      <c r="E822">
        <v>293.3788734122989</v>
      </c>
      <c r="F822">
        <v>275.27477065917799</v>
      </c>
      <c r="G822">
        <v>287.68828087035484</v>
      </c>
      <c r="H822">
        <v>291.81337040819403</v>
      </c>
      <c r="I822">
        <v>343.73714003934401</v>
      </c>
      <c r="J822">
        <v>362.8036351836638</v>
      </c>
      <c r="K822">
        <v>377.5398339438666</v>
      </c>
      <c r="L822">
        <v>437.67366051095541</v>
      </c>
    </row>
    <row r="823" spans="1:12" x14ac:dyDescent="0.25">
      <c r="A823">
        <v>243.92358044835177</v>
      </c>
      <c r="B823">
        <v>243.5530935788793</v>
      </c>
      <c r="C823">
        <v>219.70459351856903</v>
      </c>
      <c r="D823">
        <v>231.09409126815217</v>
      </c>
      <c r="E823">
        <v>268.47469369057779</v>
      </c>
      <c r="F823">
        <v>253.19477233659941</v>
      </c>
      <c r="G823">
        <v>251.41997719855738</v>
      </c>
      <c r="H823">
        <v>258.86972655007679</v>
      </c>
      <c r="I823">
        <v>288.24903677354786</v>
      </c>
      <c r="J823">
        <v>300.06232791024252</v>
      </c>
      <c r="K823">
        <v>335.70280124877479</v>
      </c>
      <c r="L823">
        <v>382.65418428670847</v>
      </c>
    </row>
    <row r="824" spans="1:12" x14ac:dyDescent="0.25">
      <c r="A824">
        <v>226.07672023163468</v>
      </c>
      <c r="B824">
        <v>268.14531584186506</v>
      </c>
      <c r="C824">
        <v>236.13847969242948</v>
      </c>
      <c r="D824">
        <v>228.90279234123261</v>
      </c>
      <c r="E824">
        <v>289.24641259700923</v>
      </c>
      <c r="F824">
        <v>255.42904138864372</v>
      </c>
      <c r="G824">
        <v>275.30513963599554</v>
      </c>
      <c r="H824">
        <v>266.80882646057023</v>
      </c>
      <c r="I824">
        <v>308.30431112600075</v>
      </c>
      <c r="J824">
        <v>319.94618302287302</v>
      </c>
      <c r="K824">
        <v>327.05792011863804</v>
      </c>
      <c r="L824">
        <v>394.08891528117215</v>
      </c>
    </row>
    <row r="825" spans="1:12" x14ac:dyDescent="0.25">
      <c r="A825">
        <v>256.89226717816109</v>
      </c>
      <c r="B825">
        <v>289.20623540099001</v>
      </c>
      <c r="C825">
        <v>257.90415540665737</v>
      </c>
      <c r="D825">
        <v>253.73726017103425</v>
      </c>
      <c r="E825">
        <v>301.1817847286693</v>
      </c>
      <c r="F825">
        <v>269.58174825856958</v>
      </c>
      <c r="G825">
        <v>280.18986479460693</v>
      </c>
      <c r="H825">
        <v>282.14059887393432</v>
      </c>
      <c r="I825">
        <v>320.41651103044785</v>
      </c>
      <c r="J825">
        <v>354.65756513183646</v>
      </c>
      <c r="K825">
        <v>366.77784596827001</v>
      </c>
      <c r="L825">
        <v>440.7175205218893</v>
      </c>
    </row>
    <row r="826" spans="1:12" x14ac:dyDescent="0.25">
      <c r="A826">
        <v>247.69221980398976</v>
      </c>
      <c r="B826">
        <v>273.33787555234915</v>
      </c>
      <c r="C826">
        <v>242.65846686581534</v>
      </c>
      <c r="D826">
        <v>261.65276356293577</v>
      </c>
      <c r="E826">
        <v>294.40259069410774</v>
      </c>
      <c r="F826">
        <v>253.47281046030128</v>
      </c>
      <c r="G826">
        <v>266.34456838053035</v>
      </c>
      <c r="H826">
        <v>301.86247778164278</v>
      </c>
      <c r="I826">
        <v>313.39621728073621</v>
      </c>
      <c r="J826">
        <v>334.83589074338835</v>
      </c>
      <c r="K826">
        <v>358.06497498692727</v>
      </c>
      <c r="L826">
        <v>432.62198983350891</v>
      </c>
    </row>
    <row r="827" spans="1:12" x14ac:dyDescent="0.25">
      <c r="A827">
        <v>248.62336617995652</v>
      </c>
      <c r="B827">
        <v>260.2621643888391</v>
      </c>
      <c r="C827">
        <v>257.8356679043917</v>
      </c>
      <c r="D827">
        <v>240.34812910782628</v>
      </c>
      <c r="E827">
        <v>286.2733763465763</v>
      </c>
      <c r="F827">
        <v>252.75428187883688</v>
      </c>
      <c r="G827">
        <v>268.61133067513055</v>
      </c>
      <c r="H827">
        <v>262.42200712388711</v>
      </c>
      <c r="I827">
        <v>290.34596771384872</v>
      </c>
      <c r="J827">
        <v>313.67903786359909</v>
      </c>
      <c r="K827">
        <v>347.92706177944871</v>
      </c>
      <c r="L827">
        <v>400.06680637391321</v>
      </c>
    </row>
    <row r="828" spans="1:12" x14ac:dyDescent="0.25">
      <c r="A828">
        <v>236.77363139792266</v>
      </c>
      <c r="B828">
        <v>263.30051328064161</v>
      </c>
      <c r="C828">
        <v>246.84562831089491</v>
      </c>
      <c r="D828">
        <v>257.29620685024946</v>
      </c>
      <c r="E828">
        <v>287.97302103253242</v>
      </c>
      <c r="F828">
        <v>239.34044632610318</v>
      </c>
      <c r="G828">
        <v>260.86798798229245</v>
      </c>
      <c r="H828">
        <v>284.59353882893515</v>
      </c>
      <c r="I828">
        <v>304.48600598126194</v>
      </c>
      <c r="J828">
        <v>327.33642110618501</v>
      </c>
      <c r="K828">
        <v>349.3736881209536</v>
      </c>
      <c r="L828">
        <v>419.80988997350818</v>
      </c>
    </row>
    <row r="829" spans="1:12" x14ac:dyDescent="0.25">
      <c r="A829">
        <v>248.8686281977177</v>
      </c>
      <c r="B829">
        <v>289.50082839165748</v>
      </c>
      <c r="C829">
        <v>250.57315719670223</v>
      </c>
      <c r="D829">
        <v>259.34749704859718</v>
      </c>
      <c r="E829">
        <v>311.293812913821</v>
      </c>
      <c r="F829">
        <v>273.54102297613775</v>
      </c>
      <c r="G829">
        <v>267.82526877507343</v>
      </c>
      <c r="H829">
        <v>289.31425892368867</v>
      </c>
      <c r="I829">
        <v>320.04523227360198</v>
      </c>
      <c r="J829">
        <v>327.85943409740713</v>
      </c>
      <c r="K829">
        <v>368.7635278013783</v>
      </c>
      <c r="L829">
        <v>403.26358765180765</v>
      </c>
    </row>
    <row r="830" spans="1:12" x14ac:dyDescent="0.25">
      <c r="A830">
        <v>252.45851800358295</v>
      </c>
      <c r="B830">
        <v>267.40923959736142</v>
      </c>
      <c r="C830">
        <v>234.36701048456814</v>
      </c>
      <c r="D830">
        <v>240.03487984144024</v>
      </c>
      <c r="E830">
        <v>284.25180472102755</v>
      </c>
      <c r="F830">
        <v>249.65216117804198</v>
      </c>
      <c r="G830">
        <v>279.26495848184123</v>
      </c>
      <c r="H830">
        <v>264.7281336866937</v>
      </c>
      <c r="I830">
        <v>293.17334282618276</v>
      </c>
      <c r="J830">
        <v>288.83117099033262</v>
      </c>
      <c r="K830">
        <v>319.41855981497622</v>
      </c>
      <c r="L830">
        <v>380.67196002571455</v>
      </c>
    </row>
    <row r="831" spans="1:12" x14ac:dyDescent="0.25">
      <c r="A831">
        <v>230.66224170731928</v>
      </c>
      <c r="B831">
        <v>267.17111545735628</v>
      </c>
      <c r="C831">
        <v>227.498619661166</v>
      </c>
      <c r="D831">
        <v>218.09531771421993</v>
      </c>
      <c r="E831">
        <v>258.2011081010512</v>
      </c>
      <c r="F831">
        <v>236.91942607070376</v>
      </c>
      <c r="G831">
        <v>244.21048875165764</v>
      </c>
      <c r="H831">
        <v>250.43665483998672</v>
      </c>
      <c r="I831">
        <v>267.1322300204659</v>
      </c>
      <c r="J831">
        <v>267.81567068753822</v>
      </c>
      <c r="K831">
        <v>286.72525995460961</v>
      </c>
      <c r="L831">
        <v>331.92896280109142</v>
      </c>
    </row>
    <row r="832" spans="1:12" x14ac:dyDescent="0.25">
      <c r="A832">
        <v>252.82902893253296</v>
      </c>
      <c r="B832">
        <v>265.20899523981353</v>
      </c>
      <c r="C832">
        <v>256.9498838420273</v>
      </c>
      <c r="D832">
        <v>245.63616903829424</v>
      </c>
      <c r="E832">
        <v>286.52557048744939</v>
      </c>
      <c r="F832">
        <v>271.88655597949293</v>
      </c>
      <c r="G832">
        <v>258.4277626792927</v>
      </c>
      <c r="H832">
        <v>271.93039458328121</v>
      </c>
      <c r="I832">
        <v>285.55063957243362</v>
      </c>
      <c r="J832">
        <v>289.64440855590976</v>
      </c>
      <c r="K832">
        <v>292.10016049873582</v>
      </c>
      <c r="L832">
        <v>359.72605257400664</v>
      </c>
    </row>
    <row r="833" spans="1:12" x14ac:dyDescent="0.25">
      <c r="A833">
        <v>250.33654223957097</v>
      </c>
      <c r="B833">
        <v>263.75729081193856</v>
      </c>
      <c r="C833">
        <v>244.17315346808837</v>
      </c>
      <c r="D833">
        <v>230.91310922582849</v>
      </c>
      <c r="E833">
        <v>270.22326769041149</v>
      </c>
      <c r="F833">
        <v>232.10367076443137</v>
      </c>
      <c r="G833">
        <v>252.10053145648487</v>
      </c>
      <c r="H833">
        <v>241.59627865448689</v>
      </c>
      <c r="I833">
        <v>267.44680993032023</v>
      </c>
      <c r="J833">
        <v>291.78256849545517</v>
      </c>
      <c r="K833">
        <v>285.39022431421751</v>
      </c>
      <c r="L833">
        <v>341.6559765237152</v>
      </c>
    </row>
    <row r="834" spans="1:12" x14ac:dyDescent="0.25">
      <c r="A834">
        <v>237.53222846777678</v>
      </c>
      <c r="B834">
        <v>262.72010404909179</v>
      </c>
      <c r="C834">
        <v>230.08926390432171</v>
      </c>
      <c r="D834">
        <v>227.63877308629978</v>
      </c>
      <c r="E834">
        <v>267.87173340628658</v>
      </c>
      <c r="F834">
        <v>232.76374432221715</v>
      </c>
      <c r="G834">
        <v>232.93149798241109</v>
      </c>
      <c r="H834">
        <v>238.11269299621586</v>
      </c>
      <c r="I834">
        <v>275.96624827875212</v>
      </c>
      <c r="J834">
        <v>278.64287838436377</v>
      </c>
      <c r="K834">
        <v>309.20142735718508</v>
      </c>
      <c r="L834">
        <v>356.10820879244363</v>
      </c>
    </row>
    <row r="835" spans="1:12" x14ac:dyDescent="0.25">
      <c r="A835">
        <v>257.20899829085545</v>
      </c>
      <c r="B835">
        <v>264.35197905288874</v>
      </c>
      <c r="C835">
        <v>256.90497610913195</v>
      </c>
      <c r="D835">
        <v>243.24824849487783</v>
      </c>
      <c r="E835">
        <v>291.55611516462051</v>
      </c>
      <c r="F835">
        <v>274.99681463483461</v>
      </c>
      <c r="G835">
        <v>279.74404456661392</v>
      </c>
      <c r="H835">
        <v>274.84587923678129</v>
      </c>
      <c r="I835">
        <v>317.75510352035752</v>
      </c>
      <c r="J835">
        <v>342.81329215903861</v>
      </c>
      <c r="K835">
        <v>359.12825188494588</v>
      </c>
      <c r="L835">
        <v>413.09000249426106</v>
      </c>
    </row>
    <row r="836" spans="1:12" x14ac:dyDescent="0.25">
      <c r="A836">
        <v>256.22452850965919</v>
      </c>
      <c r="B836">
        <v>275.96006034146967</v>
      </c>
      <c r="C836">
        <v>251.07706916530091</v>
      </c>
      <c r="D836">
        <v>256.9498599629818</v>
      </c>
      <c r="E836">
        <v>307.9607787605978</v>
      </c>
      <c r="F836">
        <v>266.8823699626933</v>
      </c>
      <c r="G836">
        <v>281.80734973916952</v>
      </c>
      <c r="H836">
        <v>305.61117373767087</v>
      </c>
      <c r="I836">
        <v>321.24651392712724</v>
      </c>
      <c r="J836">
        <v>349.02502193233289</v>
      </c>
      <c r="K836">
        <v>356.58129972657684</v>
      </c>
      <c r="L836">
        <v>428.6388330783069</v>
      </c>
    </row>
    <row r="837" spans="1:12" x14ac:dyDescent="0.25">
      <c r="A837">
        <v>268.10901536426468</v>
      </c>
      <c r="B837">
        <v>264.03159802118512</v>
      </c>
      <c r="C837">
        <v>254.44791034977993</v>
      </c>
      <c r="D837">
        <v>225.14917949641435</v>
      </c>
      <c r="E837">
        <v>268.27880295254585</v>
      </c>
      <c r="F837">
        <v>239.33340620321681</v>
      </c>
      <c r="G837">
        <v>256.19167677644356</v>
      </c>
      <c r="H837">
        <v>236.19755262642909</v>
      </c>
      <c r="I837">
        <v>267.53425727256285</v>
      </c>
      <c r="J837">
        <v>281.28831862457287</v>
      </c>
      <c r="K837">
        <v>279.47993678424763</v>
      </c>
      <c r="L837">
        <v>316.76865512465463</v>
      </c>
    </row>
    <row r="838" spans="1:12" x14ac:dyDescent="0.25">
      <c r="A838">
        <v>241.03930314708788</v>
      </c>
      <c r="B838">
        <v>268.94550776331175</v>
      </c>
      <c r="C838">
        <v>237.7814789923614</v>
      </c>
      <c r="D838">
        <v>227.51747016555314</v>
      </c>
      <c r="E838">
        <v>258.82018901937641</v>
      </c>
      <c r="F838">
        <v>250.30167066343924</v>
      </c>
      <c r="G838">
        <v>270.02961949857723</v>
      </c>
      <c r="H838">
        <v>255.19112580149994</v>
      </c>
      <c r="I838">
        <v>293.56856018635949</v>
      </c>
      <c r="J838">
        <v>295.3589907221924</v>
      </c>
      <c r="K838">
        <v>303.51203330813644</v>
      </c>
      <c r="L838">
        <v>363.041271342264</v>
      </c>
    </row>
    <row r="839" spans="1:12" x14ac:dyDescent="0.25">
      <c r="A839">
        <v>236.72816952135221</v>
      </c>
      <c r="B839">
        <v>279.78845724103383</v>
      </c>
      <c r="C839">
        <v>228.96170260454898</v>
      </c>
      <c r="D839">
        <v>228.20167877016308</v>
      </c>
      <c r="E839">
        <v>282.65585311918034</v>
      </c>
      <c r="F839">
        <v>249.2703379537725</v>
      </c>
      <c r="G839">
        <v>257.01424765263852</v>
      </c>
      <c r="H839">
        <v>256.17714503747567</v>
      </c>
      <c r="I839">
        <v>297.4413350967435</v>
      </c>
      <c r="J839">
        <v>303.45417944320445</v>
      </c>
      <c r="K839">
        <v>297.68216405756863</v>
      </c>
      <c r="L839">
        <v>373.69771584167199</v>
      </c>
    </row>
    <row r="840" spans="1:12" x14ac:dyDescent="0.25">
      <c r="A840">
        <v>244.30381862508276</v>
      </c>
      <c r="B840">
        <v>257.43407136418097</v>
      </c>
      <c r="C840">
        <v>257.8641041435742</v>
      </c>
      <c r="D840">
        <v>254.1489251594906</v>
      </c>
      <c r="E840">
        <v>286.83349875806618</v>
      </c>
      <c r="F840">
        <v>264.20964526037471</v>
      </c>
      <c r="G840">
        <v>278.57814962306503</v>
      </c>
      <c r="H840">
        <v>287.91749832720365</v>
      </c>
      <c r="I840">
        <v>312.23535123435869</v>
      </c>
      <c r="J840">
        <v>335.52261123971152</v>
      </c>
      <c r="K840">
        <v>345.73466283788792</v>
      </c>
      <c r="L840">
        <v>395.86824349027489</v>
      </c>
    </row>
    <row r="841" spans="1:12" x14ac:dyDescent="0.25">
      <c r="A841">
        <v>250.31251404174361</v>
      </c>
      <c r="B841">
        <v>274.7966122415711</v>
      </c>
      <c r="C841">
        <v>242.28925024687484</v>
      </c>
      <c r="D841">
        <v>240.82852590935215</v>
      </c>
      <c r="E841">
        <v>292.91928854983831</v>
      </c>
      <c r="F841">
        <v>252.42189338296549</v>
      </c>
      <c r="G841">
        <v>248.86938349790972</v>
      </c>
      <c r="H841">
        <v>265.03779868377558</v>
      </c>
      <c r="I841">
        <v>281.26272174318228</v>
      </c>
      <c r="J841">
        <v>305.25138358640714</v>
      </c>
      <c r="K841">
        <v>309.93464964614975</v>
      </c>
      <c r="L841">
        <v>369.58622057003737</v>
      </c>
    </row>
    <row r="842" spans="1:12" x14ac:dyDescent="0.25">
      <c r="A842">
        <v>235.37847185734441</v>
      </c>
      <c r="B842">
        <v>248.32842724955572</v>
      </c>
      <c r="C842">
        <v>219.78289718383434</v>
      </c>
      <c r="D842">
        <v>233.28556231161349</v>
      </c>
      <c r="E842">
        <v>248.00582791175088</v>
      </c>
      <c r="F842">
        <v>227.75877932686348</v>
      </c>
      <c r="G842">
        <v>248.82860053790881</v>
      </c>
      <c r="H842">
        <v>237.28035144319398</v>
      </c>
      <c r="I842">
        <v>274.9716519343034</v>
      </c>
      <c r="J842">
        <v>293.75674995298505</v>
      </c>
      <c r="K842">
        <v>299.64120090443839</v>
      </c>
      <c r="L842">
        <v>344.77390439453359</v>
      </c>
    </row>
    <row r="843" spans="1:12" x14ac:dyDescent="0.25">
      <c r="A843">
        <v>224.84557615041842</v>
      </c>
      <c r="B843">
        <v>256.50299484496674</v>
      </c>
      <c r="C843">
        <v>239.43242659560823</v>
      </c>
      <c r="D843">
        <v>221.76911069422187</v>
      </c>
      <c r="E843">
        <v>256.03942869201279</v>
      </c>
      <c r="F843">
        <v>220.97115991394958</v>
      </c>
      <c r="G843">
        <v>242.10769218863231</v>
      </c>
      <c r="H843">
        <v>239.84142040575108</v>
      </c>
      <c r="I843">
        <v>259.03474429598435</v>
      </c>
      <c r="J843">
        <v>250.6678308070889</v>
      </c>
      <c r="K843">
        <v>273.93019605111544</v>
      </c>
      <c r="L843">
        <v>308.61684760538293</v>
      </c>
    </row>
    <row r="844" spans="1:12" x14ac:dyDescent="0.25">
      <c r="A844">
        <v>232.66203996165052</v>
      </c>
      <c r="B844">
        <v>264.15467295097568</v>
      </c>
      <c r="C844">
        <v>238.14513835887993</v>
      </c>
      <c r="D844">
        <v>229.7701975603859</v>
      </c>
      <c r="E844">
        <v>277.10414748232978</v>
      </c>
      <c r="F844">
        <v>240.97106454760137</v>
      </c>
      <c r="G844">
        <v>249.0351063916269</v>
      </c>
      <c r="H844">
        <v>249.74571772435843</v>
      </c>
      <c r="I844">
        <v>259.09972102860593</v>
      </c>
      <c r="J844">
        <v>276.06551400631446</v>
      </c>
      <c r="K844">
        <v>301.33475944627617</v>
      </c>
      <c r="L844">
        <v>348.64751800751174</v>
      </c>
    </row>
    <row r="845" spans="1:12" x14ac:dyDescent="0.25">
      <c r="A845">
        <v>248.97757506949625</v>
      </c>
      <c r="B845">
        <v>287.17859675258853</v>
      </c>
      <c r="C845">
        <v>251.55533112130286</v>
      </c>
      <c r="D845">
        <v>237.64854172106877</v>
      </c>
      <c r="E845">
        <v>288.08732441502332</v>
      </c>
      <c r="F845">
        <v>262.11787526018435</v>
      </c>
      <c r="G845">
        <v>269.67543848108949</v>
      </c>
      <c r="H845">
        <v>256.03327229384087</v>
      </c>
      <c r="I845">
        <v>289.92740785964827</v>
      </c>
      <c r="J845">
        <v>304.667271236391</v>
      </c>
      <c r="K845">
        <v>328.35298947367232</v>
      </c>
      <c r="L845">
        <v>375.63319049903424</v>
      </c>
    </row>
    <row r="846" spans="1:12" x14ac:dyDescent="0.25">
      <c r="A846">
        <v>251.76669016471283</v>
      </c>
      <c r="B846">
        <v>265.3779868864097</v>
      </c>
      <c r="C846">
        <v>232.10773067570463</v>
      </c>
      <c r="D846">
        <v>241.45889378792256</v>
      </c>
      <c r="E846">
        <v>266.0673139432098</v>
      </c>
      <c r="F846">
        <v>268.20150549975148</v>
      </c>
      <c r="G846">
        <v>254.20499282770106</v>
      </c>
      <c r="H846">
        <v>266.41588990206799</v>
      </c>
      <c r="I846">
        <v>291.05960443904576</v>
      </c>
      <c r="J846">
        <v>313.70162163175087</v>
      </c>
      <c r="K846">
        <v>302.1451879836502</v>
      </c>
      <c r="L846">
        <v>386.85793245063871</v>
      </c>
    </row>
    <row r="847" spans="1:12" x14ac:dyDescent="0.25">
      <c r="A847">
        <v>239.32662377792715</v>
      </c>
      <c r="B847">
        <v>272.4867035537701</v>
      </c>
      <c r="C847">
        <v>239.85463048726425</v>
      </c>
      <c r="D847">
        <v>248.89715668301372</v>
      </c>
      <c r="E847">
        <v>280.14869818823331</v>
      </c>
      <c r="F847">
        <v>259.07904871705301</v>
      </c>
      <c r="G847">
        <v>255.64143404323283</v>
      </c>
      <c r="H847">
        <v>274.01119990510654</v>
      </c>
      <c r="I847">
        <v>297.67088534462061</v>
      </c>
      <c r="J847">
        <v>296.11209445547746</v>
      </c>
      <c r="K847">
        <v>316.97171493213017</v>
      </c>
      <c r="L847">
        <v>365.55281137462055</v>
      </c>
    </row>
    <row r="848" spans="1:12" x14ac:dyDescent="0.25">
      <c r="A848">
        <v>235.78665415787361</v>
      </c>
      <c r="B848">
        <v>253.45720535794797</v>
      </c>
      <c r="C848">
        <v>228.02781300996133</v>
      </c>
      <c r="D848">
        <v>220.77928648022521</v>
      </c>
      <c r="E848">
        <v>257.3733515638533</v>
      </c>
      <c r="F848">
        <v>226.65965017039053</v>
      </c>
      <c r="G848">
        <v>247.65695717010018</v>
      </c>
      <c r="H848">
        <v>244.79215902201784</v>
      </c>
      <c r="I848">
        <v>256.1129755053127</v>
      </c>
      <c r="J848">
        <v>261.90685903227768</v>
      </c>
      <c r="K848">
        <v>270.11609201653147</v>
      </c>
      <c r="L848">
        <v>332.04424284103129</v>
      </c>
    </row>
    <row r="849" spans="1:12" x14ac:dyDescent="0.25">
      <c r="A849">
        <v>246.32146843391362</v>
      </c>
      <c r="B849">
        <v>252.8863981660925</v>
      </c>
      <c r="C849">
        <v>235.15788008048375</v>
      </c>
      <c r="D849">
        <v>230.82475402793966</v>
      </c>
      <c r="E849">
        <v>267.08517928871089</v>
      </c>
      <c r="F849">
        <v>244.70352117759046</v>
      </c>
      <c r="G849">
        <v>253.68627304473455</v>
      </c>
      <c r="H849">
        <v>266.30113110598603</v>
      </c>
      <c r="I849">
        <v>296.54984832664769</v>
      </c>
      <c r="J849">
        <v>302.92274055997621</v>
      </c>
      <c r="K849">
        <v>341.47472627140064</v>
      </c>
      <c r="L849">
        <v>390.61689660640172</v>
      </c>
    </row>
    <row r="850" spans="1:12" x14ac:dyDescent="0.25">
      <c r="A850">
        <v>247.91553044305297</v>
      </c>
      <c r="B850">
        <v>261.90905304866379</v>
      </c>
      <c r="C850">
        <v>252.83107813623326</v>
      </c>
      <c r="D850">
        <v>253.5292840274964</v>
      </c>
      <c r="E850">
        <v>283.08464520260605</v>
      </c>
      <c r="F850">
        <v>284.59472591501867</v>
      </c>
      <c r="G850">
        <v>275.36037576205831</v>
      </c>
      <c r="H850">
        <v>279.14839932075756</v>
      </c>
      <c r="I850">
        <v>309.68692021113401</v>
      </c>
      <c r="J850">
        <v>335.33101697379448</v>
      </c>
      <c r="K850">
        <v>337.65435027359626</v>
      </c>
      <c r="L850">
        <v>426.2557526066575</v>
      </c>
    </row>
    <row r="851" spans="1:12" x14ac:dyDescent="0.25">
      <c r="A851">
        <v>239.47487907112142</v>
      </c>
      <c r="B851">
        <v>254.88464212089139</v>
      </c>
      <c r="C851">
        <v>243.83476523064982</v>
      </c>
      <c r="D851">
        <v>240.14274670563947</v>
      </c>
      <c r="E851">
        <v>276.57399781612435</v>
      </c>
      <c r="F851">
        <v>256.25176517222934</v>
      </c>
      <c r="G851">
        <v>242.2244612121201</v>
      </c>
      <c r="H851">
        <v>252.90216032582316</v>
      </c>
      <c r="I851">
        <v>278.67111906259055</v>
      </c>
      <c r="J851">
        <v>286.41369247441457</v>
      </c>
      <c r="K851">
        <v>305.53348047770731</v>
      </c>
      <c r="L851">
        <v>362.99888034462708</v>
      </c>
    </row>
    <row r="852" spans="1:12" x14ac:dyDescent="0.25">
      <c r="A852">
        <v>232.0415930954243</v>
      </c>
      <c r="B852">
        <v>257.2845989622711</v>
      </c>
      <c r="C852">
        <v>236.29156153077389</v>
      </c>
      <c r="D852">
        <v>218.30435022037989</v>
      </c>
      <c r="E852">
        <v>279.11410642875234</v>
      </c>
      <c r="F852">
        <v>233.29930868061419</v>
      </c>
      <c r="G852">
        <v>246.63732942639029</v>
      </c>
      <c r="H852">
        <v>261.48281118851173</v>
      </c>
      <c r="I852">
        <v>270.91613446037985</v>
      </c>
      <c r="J852">
        <v>282.65223865342273</v>
      </c>
      <c r="K852">
        <v>308.69094028575506</v>
      </c>
      <c r="L852">
        <v>324.80284733415482</v>
      </c>
    </row>
    <row r="853" spans="1:12" x14ac:dyDescent="0.25">
      <c r="A853">
        <v>251.72520125862545</v>
      </c>
      <c r="B853">
        <v>261.56018090219567</v>
      </c>
      <c r="C853">
        <v>251.60849268101802</v>
      </c>
      <c r="D853">
        <v>243.69457264161409</v>
      </c>
      <c r="E853">
        <v>293.49855742816862</v>
      </c>
      <c r="F853">
        <v>257.32370662204085</v>
      </c>
      <c r="G853">
        <v>273.44102496492155</v>
      </c>
      <c r="H853">
        <v>265.45441126233362</v>
      </c>
      <c r="I853">
        <v>289.23353144899619</v>
      </c>
      <c r="J853">
        <v>303.10352691266752</v>
      </c>
      <c r="K853">
        <v>316.47128689337592</v>
      </c>
      <c r="L853">
        <v>379.49730003116485</v>
      </c>
    </row>
    <row r="854" spans="1:12" x14ac:dyDescent="0.25">
      <c r="A854">
        <v>263.15809580511672</v>
      </c>
      <c r="B854">
        <v>274.90635136456717</v>
      </c>
      <c r="C854">
        <v>251.47482865106497</v>
      </c>
      <c r="D854">
        <v>216.46314567999832</v>
      </c>
      <c r="E854">
        <v>279.62766224427492</v>
      </c>
      <c r="F854">
        <v>269.07210777912275</v>
      </c>
      <c r="G854">
        <v>258.9915230164857</v>
      </c>
      <c r="H854">
        <v>267.36393734959472</v>
      </c>
      <c r="I854">
        <v>281.54255066870604</v>
      </c>
      <c r="J854">
        <v>309.58617735481891</v>
      </c>
      <c r="K854">
        <v>328.5782249475094</v>
      </c>
      <c r="L854">
        <v>385.62742816194168</v>
      </c>
    </row>
    <row r="855" spans="1:12" x14ac:dyDescent="0.25">
      <c r="A855">
        <v>247.13795469357737</v>
      </c>
      <c r="B855">
        <v>256.23277613384892</v>
      </c>
      <c r="C855">
        <v>235.34799978774248</v>
      </c>
      <c r="D855">
        <v>248.81227132836602</v>
      </c>
      <c r="E855">
        <v>281.62319916005521</v>
      </c>
      <c r="F855">
        <v>261.20178214849778</v>
      </c>
      <c r="G855">
        <v>257.86210998639888</v>
      </c>
      <c r="H855">
        <v>262.54493470770177</v>
      </c>
      <c r="I855">
        <v>298.58534921811611</v>
      </c>
      <c r="J855">
        <v>292.71525429237317</v>
      </c>
      <c r="K855">
        <v>313.98783526700817</v>
      </c>
      <c r="L855">
        <v>361.2004934889996</v>
      </c>
    </row>
    <row r="856" spans="1:12" x14ac:dyDescent="0.25">
      <c r="A856">
        <v>234.28126954902478</v>
      </c>
      <c r="B856">
        <v>273.17204800150216</v>
      </c>
      <c r="C856">
        <v>247.21078672634684</v>
      </c>
      <c r="D856">
        <v>243.46896360214038</v>
      </c>
      <c r="E856">
        <v>303.76151160805767</v>
      </c>
      <c r="F856">
        <v>255.48343131428081</v>
      </c>
      <c r="G856">
        <v>257.71768156116326</v>
      </c>
      <c r="H856">
        <v>280.28908376871965</v>
      </c>
      <c r="I856">
        <v>307.57934784512435</v>
      </c>
      <c r="J856">
        <v>305.13560124717259</v>
      </c>
      <c r="K856">
        <v>314.5003196686402</v>
      </c>
      <c r="L856">
        <v>349.20663158908479</v>
      </c>
    </row>
    <row r="857" spans="1:12" x14ac:dyDescent="0.25">
      <c r="A857">
        <v>245.64500631755786</v>
      </c>
      <c r="B857">
        <v>276.38117681773298</v>
      </c>
      <c r="C857">
        <v>251.54563984788174</v>
      </c>
      <c r="D857">
        <v>232.27541756065509</v>
      </c>
      <c r="E857">
        <v>274.39930187764031</v>
      </c>
      <c r="F857">
        <v>233.8554042300737</v>
      </c>
      <c r="G857">
        <v>256.68730736071808</v>
      </c>
      <c r="H857">
        <v>264.31472770991843</v>
      </c>
      <c r="I857">
        <v>277.33097727995226</v>
      </c>
      <c r="J857">
        <v>300.5300995821878</v>
      </c>
      <c r="K857">
        <v>301.70361067327377</v>
      </c>
      <c r="L857">
        <v>335.77742699747472</v>
      </c>
    </row>
    <row r="858" spans="1:12" x14ac:dyDescent="0.25">
      <c r="A858">
        <v>245.68915589217087</v>
      </c>
      <c r="B858">
        <v>275.02654131957058</v>
      </c>
      <c r="C858">
        <v>255.43880611449453</v>
      </c>
      <c r="D858">
        <v>238.24810258084366</v>
      </c>
      <c r="E858">
        <v>276.2325704832798</v>
      </c>
      <c r="F858">
        <v>246.01415542257914</v>
      </c>
      <c r="G858">
        <v>242.14660193484858</v>
      </c>
      <c r="H858">
        <v>263.89621967769011</v>
      </c>
      <c r="I858">
        <v>284.95206311635434</v>
      </c>
      <c r="J858">
        <v>295.09003827857691</v>
      </c>
      <c r="K858">
        <v>298.89563907281757</v>
      </c>
      <c r="L858">
        <v>350.73378458215484</v>
      </c>
    </row>
    <row r="859" spans="1:12" x14ac:dyDescent="0.25">
      <c r="A859">
        <v>257.22215748812772</v>
      </c>
      <c r="B859">
        <v>264.5281866495684</v>
      </c>
      <c r="C859">
        <v>238.03283074824506</v>
      </c>
      <c r="D859">
        <v>249.9173062364645</v>
      </c>
      <c r="E859">
        <v>292.96622421229739</v>
      </c>
      <c r="F859">
        <v>240.70429436731828</v>
      </c>
      <c r="G859">
        <v>264.14065203970131</v>
      </c>
      <c r="H859">
        <v>277.1873110112515</v>
      </c>
      <c r="I859">
        <v>289.07282907298531</v>
      </c>
      <c r="J859">
        <v>311.06178402016491</v>
      </c>
      <c r="K859">
        <v>339.58076753868067</v>
      </c>
      <c r="L859">
        <v>376.59021676408565</v>
      </c>
    </row>
    <row r="860" spans="1:12" x14ac:dyDescent="0.25">
      <c r="A860">
        <v>237.34304274563854</v>
      </c>
      <c r="B860">
        <v>263.97701836853446</v>
      </c>
      <c r="C860">
        <v>241.4557433061463</v>
      </c>
      <c r="D860">
        <v>221.71172672358273</v>
      </c>
      <c r="E860">
        <v>252.37652450188918</v>
      </c>
      <c r="F860">
        <v>261.52714170134533</v>
      </c>
      <c r="G860">
        <v>240.78097024539628</v>
      </c>
      <c r="H860">
        <v>264.60399480400122</v>
      </c>
      <c r="I860">
        <v>294.48628646452266</v>
      </c>
      <c r="J860">
        <v>313.59362950991778</v>
      </c>
      <c r="K860">
        <v>307.3718621498835</v>
      </c>
      <c r="L860">
        <v>372.07033964535771</v>
      </c>
    </row>
    <row r="861" spans="1:12" x14ac:dyDescent="0.25">
      <c r="A861">
        <v>224.84552774232043</v>
      </c>
      <c r="B861">
        <v>256.56464895883551</v>
      </c>
      <c r="C861">
        <v>226.4224849961623</v>
      </c>
      <c r="D861">
        <v>224.00961876476984</v>
      </c>
      <c r="E861">
        <v>271.31182040169398</v>
      </c>
      <c r="F861">
        <v>242.94006182093614</v>
      </c>
      <c r="G861">
        <v>235.18958002688314</v>
      </c>
      <c r="H861">
        <v>231.14568802340207</v>
      </c>
      <c r="I861">
        <v>247.31442763154911</v>
      </c>
      <c r="J861">
        <v>265.43296339196621</v>
      </c>
      <c r="K861">
        <v>290.69810948877148</v>
      </c>
      <c r="L861">
        <v>339.01307802039724</v>
      </c>
    </row>
    <row r="862" spans="1:12" x14ac:dyDescent="0.25">
      <c r="A862">
        <v>242.15604408538988</v>
      </c>
      <c r="B862">
        <v>255.97635606386069</v>
      </c>
      <c r="C862">
        <v>234.1318603470248</v>
      </c>
      <c r="D862">
        <v>237.9686073416641</v>
      </c>
      <c r="E862">
        <v>282.13836474506235</v>
      </c>
      <c r="F862">
        <v>230.84466115147836</v>
      </c>
      <c r="G862">
        <v>244.97348361462321</v>
      </c>
      <c r="H862">
        <v>244.03009231155391</v>
      </c>
      <c r="I862">
        <v>256.1202340128782</v>
      </c>
      <c r="J862">
        <v>285.19052776687926</v>
      </c>
      <c r="K862">
        <v>309.58363294214854</v>
      </c>
      <c r="L862">
        <v>356.95634741573849</v>
      </c>
    </row>
    <row r="863" spans="1:12" x14ac:dyDescent="0.25">
      <c r="A863">
        <v>237.85465445309964</v>
      </c>
      <c r="B863">
        <v>268.93890086257289</v>
      </c>
      <c r="C863">
        <v>234.31749640357742</v>
      </c>
      <c r="D863">
        <v>238.67971714842389</v>
      </c>
      <c r="E863">
        <v>279.77571713118516</v>
      </c>
      <c r="F863">
        <v>244.0555132476195</v>
      </c>
      <c r="G863">
        <v>240.82212019417318</v>
      </c>
      <c r="H863">
        <v>253.7086596729396</v>
      </c>
      <c r="I863">
        <v>270.15027028053316</v>
      </c>
      <c r="J863">
        <v>270.36302458810889</v>
      </c>
      <c r="K863">
        <v>283.77647398877201</v>
      </c>
      <c r="L863">
        <v>353.42604238312902</v>
      </c>
    </row>
    <row r="864" spans="1:12" x14ac:dyDescent="0.25">
      <c r="A864">
        <v>248.24571968590007</v>
      </c>
      <c r="B864">
        <v>264.37811400667709</v>
      </c>
      <c r="C864">
        <v>249.33172776415228</v>
      </c>
      <c r="D864">
        <v>261.03706592054283</v>
      </c>
      <c r="E864">
        <v>294.93764882463842</v>
      </c>
      <c r="F864">
        <v>265.07762114158589</v>
      </c>
      <c r="G864">
        <v>270.56272583076276</v>
      </c>
      <c r="H864">
        <v>300.15509460812012</v>
      </c>
      <c r="I864">
        <v>318.04408863101867</v>
      </c>
      <c r="J864">
        <v>321.53190572830209</v>
      </c>
      <c r="K864">
        <v>338.15449401403271</v>
      </c>
      <c r="L864">
        <v>404.5229838527714</v>
      </c>
    </row>
    <row r="865" spans="1:12" x14ac:dyDescent="0.25">
      <c r="A865">
        <v>218.31271592258662</v>
      </c>
      <c r="B865">
        <v>240.07032889349929</v>
      </c>
      <c r="C865">
        <v>236.08531757905425</v>
      </c>
      <c r="D865">
        <v>248.3627172678888</v>
      </c>
      <c r="E865">
        <v>266.49621410784295</v>
      </c>
      <c r="F865">
        <v>240.7166311874517</v>
      </c>
      <c r="G865">
        <v>245.11433833527767</v>
      </c>
      <c r="H865">
        <v>254.74684672837796</v>
      </c>
      <c r="I865">
        <v>278.52500270318399</v>
      </c>
      <c r="J865">
        <v>270.89386255323791</v>
      </c>
      <c r="K865">
        <v>296.395697083801</v>
      </c>
      <c r="L865">
        <v>329.74732963639906</v>
      </c>
    </row>
    <row r="866" spans="1:12" x14ac:dyDescent="0.25">
      <c r="A866">
        <v>251.68959989952</v>
      </c>
      <c r="B866">
        <v>261.66447930196915</v>
      </c>
      <c r="C866">
        <v>244.96428995894621</v>
      </c>
      <c r="D866">
        <v>232.13700513625488</v>
      </c>
      <c r="E866">
        <v>275.74499436758708</v>
      </c>
      <c r="F866">
        <v>241.14886715425015</v>
      </c>
      <c r="G866">
        <v>241.60043079175043</v>
      </c>
      <c r="H866">
        <v>255.78376924373023</v>
      </c>
      <c r="I866">
        <v>262.74996519643634</v>
      </c>
      <c r="J866">
        <v>257.78853422396367</v>
      </c>
      <c r="K866">
        <v>282.83107000260179</v>
      </c>
      <c r="L866">
        <v>318.85462892791651</v>
      </c>
    </row>
    <row r="867" spans="1:12" x14ac:dyDescent="0.25">
      <c r="A867">
        <v>258.59040661140358</v>
      </c>
      <c r="B867">
        <v>268.38761457975642</v>
      </c>
      <c r="C867">
        <v>251.0339116654209</v>
      </c>
      <c r="D867">
        <v>236.31343681641491</v>
      </c>
      <c r="E867">
        <v>269.27360569536592</v>
      </c>
      <c r="F867">
        <v>238.70166786071906</v>
      </c>
      <c r="G867">
        <v>263.54070725355638</v>
      </c>
      <c r="H867">
        <v>258.86202665272043</v>
      </c>
      <c r="I867">
        <v>318.38158075070862</v>
      </c>
      <c r="J867">
        <v>297.92111914569193</v>
      </c>
      <c r="K867">
        <v>331.15278662663957</v>
      </c>
      <c r="L867">
        <v>394.80810917126564</v>
      </c>
    </row>
    <row r="868" spans="1:12" x14ac:dyDescent="0.25">
      <c r="A868">
        <v>246.97620903726551</v>
      </c>
      <c r="B868">
        <v>278.15943083730366</v>
      </c>
      <c r="C868">
        <v>250.26006448331449</v>
      </c>
      <c r="D868">
        <v>255.06707022405928</v>
      </c>
      <c r="E868">
        <v>287.74578730408939</v>
      </c>
      <c r="F868">
        <v>256.21910578467339</v>
      </c>
      <c r="G868">
        <v>261.90603805075477</v>
      </c>
      <c r="H868">
        <v>270.62543910720467</v>
      </c>
      <c r="I868">
        <v>299.89714380528136</v>
      </c>
      <c r="J868">
        <v>315.95378891264284</v>
      </c>
      <c r="K868">
        <v>339.72255048268408</v>
      </c>
      <c r="L868">
        <v>391.84844049408014</v>
      </c>
    </row>
    <row r="869" spans="1:12" x14ac:dyDescent="0.25">
      <c r="A869">
        <v>239.45728339372491</v>
      </c>
      <c r="B869">
        <v>246.70091534439109</v>
      </c>
      <c r="C869">
        <v>244.95800257901573</v>
      </c>
      <c r="D869">
        <v>237.87829958891348</v>
      </c>
      <c r="E869">
        <v>253.38151935825911</v>
      </c>
      <c r="F869">
        <v>240.27211408426643</v>
      </c>
      <c r="G869">
        <v>238.86147934623762</v>
      </c>
      <c r="H869">
        <v>261.07888487327824</v>
      </c>
      <c r="I869">
        <v>273.31523271971997</v>
      </c>
      <c r="J869">
        <v>289.15598959607604</v>
      </c>
      <c r="K869">
        <v>303.21153522066083</v>
      </c>
      <c r="L869">
        <v>367.15983145870416</v>
      </c>
    </row>
    <row r="870" spans="1:12" x14ac:dyDescent="0.25">
      <c r="A870">
        <v>251.68187487363397</v>
      </c>
      <c r="B870">
        <v>275.1344326205064</v>
      </c>
      <c r="C870">
        <v>233.88403586243021</v>
      </c>
      <c r="D870">
        <v>248.34983001135026</v>
      </c>
      <c r="E870">
        <v>290.30678489633334</v>
      </c>
      <c r="F870">
        <v>240.37656933690874</v>
      </c>
      <c r="G870">
        <v>249.69881108201085</v>
      </c>
      <c r="H870">
        <v>252.28080514273526</v>
      </c>
      <c r="I870">
        <v>285.72562418568265</v>
      </c>
      <c r="J870">
        <v>283.83088078646296</v>
      </c>
      <c r="K870">
        <v>283.69176150757687</v>
      </c>
      <c r="L870">
        <v>351.4719454498844</v>
      </c>
    </row>
    <row r="871" spans="1:12" x14ac:dyDescent="0.25">
      <c r="A871">
        <v>246.34558985730064</v>
      </c>
      <c r="B871">
        <v>264.61825589842846</v>
      </c>
      <c r="C871">
        <v>250.38425643672366</v>
      </c>
      <c r="D871">
        <v>247.68538135119317</v>
      </c>
      <c r="E871">
        <v>294.41107891270565</v>
      </c>
      <c r="F871">
        <v>258.68761760558169</v>
      </c>
      <c r="G871">
        <v>243.2473881806448</v>
      </c>
      <c r="H871">
        <v>262.79917347868263</v>
      </c>
      <c r="I871">
        <v>294.75331326618146</v>
      </c>
      <c r="J871">
        <v>275.37848184673464</v>
      </c>
      <c r="K871">
        <v>311.98181789351054</v>
      </c>
      <c r="L871">
        <v>366.66568757951882</v>
      </c>
    </row>
    <row r="872" spans="1:12" x14ac:dyDescent="0.25">
      <c r="A872">
        <v>247.5674054897317</v>
      </c>
      <c r="B872">
        <v>261.81340619704201</v>
      </c>
      <c r="C872">
        <v>229.33831557821023</v>
      </c>
      <c r="D872">
        <v>244.40412835562049</v>
      </c>
      <c r="E872">
        <v>293.81817526138565</v>
      </c>
      <c r="F872">
        <v>258.02189578813039</v>
      </c>
      <c r="G872">
        <v>264.37506633709972</v>
      </c>
      <c r="H872">
        <v>286.08930514508188</v>
      </c>
      <c r="I872">
        <v>311.25210494419724</v>
      </c>
      <c r="J872">
        <v>302.87706146623168</v>
      </c>
      <c r="K872">
        <v>319.65343424713507</v>
      </c>
      <c r="L872">
        <v>375.49962184330593</v>
      </c>
    </row>
    <row r="873" spans="1:12" x14ac:dyDescent="0.25">
      <c r="A873">
        <v>234.78377937763491</v>
      </c>
      <c r="B873">
        <v>267.6076988928246</v>
      </c>
      <c r="C873">
        <v>270.15117773274733</v>
      </c>
      <c r="D873">
        <v>263.58187708323197</v>
      </c>
      <c r="E873">
        <v>287.45623344179967</v>
      </c>
      <c r="F873">
        <v>272.63513754489873</v>
      </c>
      <c r="G873">
        <v>291.53389927981993</v>
      </c>
      <c r="H873">
        <v>290.25552568276152</v>
      </c>
      <c r="I873">
        <v>327.5572743357784</v>
      </c>
      <c r="J873">
        <v>338.7692284997064</v>
      </c>
      <c r="K873">
        <v>369.90464784893118</v>
      </c>
      <c r="L873">
        <v>417.26538369059807</v>
      </c>
    </row>
    <row r="874" spans="1:12" x14ac:dyDescent="0.25">
      <c r="A874">
        <v>222.25765481871065</v>
      </c>
      <c r="B874">
        <v>265.09984392452327</v>
      </c>
      <c r="C874">
        <v>246.4836084212418</v>
      </c>
      <c r="D874">
        <v>234.81687709032039</v>
      </c>
      <c r="E874">
        <v>270.48758223323563</v>
      </c>
      <c r="F874">
        <v>230.42759644098385</v>
      </c>
      <c r="G874">
        <v>251.104916276517</v>
      </c>
      <c r="H874">
        <v>246.50768410704788</v>
      </c>
      <c r="I874">
        <v>263.78828505321906</v>
      </c>
      <c r="J874">
        <v>280.88887520604169</v>
      </c>
      <c r="K874">
        <v>286.46789921928007</v>
      </c>
      <c r="L874">
        <v>340.9108525925725</v>
      </c>
    </row>
    <row r="875" spans="1:12" x14ac:dyDescent="0.25">
      <c r="A875">
        <v>247.61296326750161</v>
      </c>
      <c r="B875">
        <v>260.32327175781575</v>
      </c>
      <c r="C875">
        <v>248.61591688842847</v>
      </c>
      <c r="D875">
        <v>236.78385331013544</v>
      </c>
      <c r="E875">
        <v>281.9246694711145</v>
      </c>
      <c r="F875">
        <v>258.6260647645571</v>
      </c>
      <c r="G875">
        <v>243.77416947329823</v>
      </c>
      <c r="H875">
        <v>278.5814743146903</v>
      </c>
      <c r="I875">
        <v>294.06422464997979</v>
      </c>
      <c r="J875">
        <v>289.78214973673391</v>
      </c>
      <c r="K875">
        <v>322.10720717639947</v>
      </c>
      <c r="L875">
        <v>361.66866616974602</v>
      </c>
    </row>
    <row r="876" spans="1:12" x14ac:dyDescent="0.25">
      <c r="A876">
        <v>244.15400645261244</v>
      </c>
      <c r="B876">
        <v>257.2680858415689</v>
      </c>
      <c r="C876">
        <v>226.37009292832593</v>
      </c>
      <c r="D876">
        <v>226.75282251091016</v>
      </c>
      <c r="E876">
        <v>280.34008400812655</v>
      </c>
      <c r="F876">
        <v>247.80475123882391</v>
      </c>
      <c r="G876">
        <v>229.59603244305512</v>
      </c>
      <c r="H876">
        <v>236.05383185060884</v>
      </c>
      <c r="I876">
        <v>278.78923012784958</v>
      </c>
      <c r="J876">
        <v>289.11902703118403</v>
      </c>
      <c r="K876">
        <v>277.12960053726329</v>
      </c>
      <c r="L876">
        <v>332.63916657843248</v>
      </c>
    </row>
    <row r="877" spans="1:12" x14ac:dyDescent="0.25">
      <c r="A877">
        <v>241.5394322788693</v>
      </c>
      <c r="B877">
        <v>278.8132569537828</v>
      </c>
      <c r="C877">
        <v>241.99697898052943</v>
      </c>
      <c r="D877">
        <v>253.22550987419916</v>
      </c>
      <c r="E877">
        <v>282.53521884034285</v>
      </c>
      <c r="F877">
        <v>238.94066218535355</v>
      </c>
      <c r="G877">
        <v>255.06023652198792</v>
      </c>
      <c r="H877">
        <v>267.42677184584466</v>
      </c>
      <c r="I877">
        <v>272.65675695851263</v>
      </c>
      <c r="J877">
        <v>303.80681343720306</v>
      </c>
      <c r="K877">
        <v>282.27281542463589</v>
      </c>
      <c r="L877">
        <v>359.82333649989164</v>
      </c>
    </row>
    <row r="878" spans="1:12" x14ac:dyDescent="0.25">
      <c r="A878">
        <v>248.15100239579738</v>
      </c>
      <c r="B878">
        <v>264.00628351066479</v>
      </c>
      <c r="C878">
        <v>226.26012868207869</v>
      </c>
      <c r="D878">
        <v>232.49308863750292</v>
      </c>
      <c r="E878">
        <v>251.66413376030721</v>
      </c>
      <c r="F878">
        <v>218.01948768497465</v>
      </c>
      <c r="G878">
        <v>235.97245571046429</v>
      </c>
      <c r="H878">
        <v>235.69408377163484</v>
      </c>
      <c r="I878">
        <v>250.51729430932474</v>
      </c>
      <c r="J878">
        <v>277.5926706431938</v>
      </c>
      <c r="K878">
        <v>263.46623054338886</v>
      </c>
      <c r="L878">
        <v>300.14307411107097</v>
      </c>
    </row>
    <row r="879" spans="1:12" x14ac:dyDescent="0.25">
      <c r="A879">
        <v>241.27616325096423</v>
      </c>
      <c r="B879">
        <v>259.64710596591652</v>
      </c>
      <c r="C879">
        <v>235.26172779779856</v>
      </c>
      <c r="D879">
        <v>220.68177891556036</v>
      </c>
      <c r="E879">
        <v>262.56687317485438</v>
      </c>
      <c r="F879">
        <v>236.68230361208984</v>
      </c>
      <c r="G879">
        <v>245.83953744287109</v>
      </c>
      <c r="H879">
        <v>249.05576023893104</v>
      </c>
      <c r="I879">
        <v>263.49823104266869</v>
      </c>
      <c r="J879">
        <v>294.1396864931441</v>
      </c>
      <c r="K879">
        <v>289.64814540017795</v>
      </c>
      <c r="L879">
        <v>334.11851762452721</v>
      </c>
    </row>
    <row r="880" spans="1:12" x14ac:dyDescent="0.25">
      <c r="A880">
        <v>232.10962783344837</v>
      </c>
      <c r="B880">
        <v>254.67849810426955</v>
      </c>
      <c r="C880">
        <v>234.39637817561405</v>
      </c>
      <c r="D880">
        <v>241.60089577062985</v>
      </c>
      <c r="E880">
        <v>254.64328402045737</v>
      </c>
      <c r="F880">
        <v>243.73815127167347</v>
      </c>
      <c r="G880">
        <v>240.00520438189403</v>
      </c>
      <c r="H880">
        <v>263.42831036021772</v>
      </c>
      <c r="I880">
        <v>281.32163060117261</v>
      </c>
      <c r="J880">
        <v>280.85410083596906</v>
      </c>
      <c r="K880">
        <v>287.71524213843753</v>
      </c>
      <c r="L880">
        <v>336.43489971376573</v>
      </c>
    </row>
    <row r="881" spans="1:12" x14ac:dyDescent="0.25">
      <c r="A881">
        <v>245.73872523234002</v>
      </c>
      <c r="B881">
        <v>263.32323839297993</v>
      </c>
      <c r="C881">
        <v>247.90446701815148</v>
      </c>
      <c r="D881">
        <v>244.361880580123</v>
      </c>
      <c r="E881">
        <v>284.47070723025973</v>
      </c>
      <c r="F881">
        <v>261.31910778962191</v>
      </c>
      <c r="G881">
        <v>271.44330893365321</v>
      </c>
      <c r="H881">
        <v>260.42329475891597</v>
      </c>
      <c r="I881">
        <v>303.69262915813874</v>
      </c>
      <c r="J881">
        <v>306.57037419264543</v>
      </c>
      <c r="K881">
        <v>334.7952132004807</v>
      </c>
      <c r="L881">
        <v>393.21098504871782</v>
      </c>
    </row>
    <row r="882" spans="1:12" x14ac:dyDescent="0.25">
      <c r="A882">
        <v>257.34259745166537</v>
      </c>
      <c r="B882">
        <v>269.68655350713863</v>
      </c>
      <c r="C882">
        <v>245.04608823994678</v>
      </c>
      <c r="D882">
        <v>246.62406940391756</v>
      </c>
      <c r="E882">
        <v>276.89657431442407</v>
      </c>
      <c r="F882">
        <v>251.02459342407192</v>
      </c>
      <c r="G882">
        <v>249.60676057058313</v>
      </c>
      <c r="H882">
        <v>270.98511056021761</v>
      </c>
      <c r="I882">
        <v>261.03577933178627</v>
      </c>
      <c r="J882">
        <v>285.32152775889506</v>
      </c>
      <c r="K882">
        <v>295.78882287629222</v>
      </c>
      <c r="L882">
        <v>344.07529249153276</v>
      </c>
    </row>
    <row r="883" spans="1:12" x14ac:dyDescent="0.25">
      <c r="A883">
        <v>245.71512659331472</v>
      </c>
      <c r="B883">
        <v>261.02444072625411</v>
      </c>
      <c r="C883">
        <v>237.02901031586666</v>
      </c>
      <c r="D883">
        <v>235.62511093658946</v>
      </c>
      <c r="E883">
        <v>285.8807895335957</v>
      </c>
      <c r="F883">
        <v>242.72570922262841</v>
      </c>
      <c r="G883">
        <v>252.58354739015869</v>
      </c>
      <c r="H883">
        <v>257.34621869042928</v>
      </c>
      <c r="I883">
        <v>290.73623094106495</v>
      </c>
      <c r="J883">
        <v>282.72632052911916</v>
      </c>
      <c r="K883">
        <v>298.11934818114162</v>
      </c>
      <c r="L883">
        <v>368.30150363526167</v>
      </c>
    </row>
    <row r="884" spans="1:12" x14ac:dyDescent="0.25">
      <c r="A884">
        <v>244.96494898434011</v>
      </c>
      <c r="B884">
        <v>259.0210386218339</v>
      </c>
      <c r="C884">
        <v>248.61038634319334</v>
      </c>
      <c r="D884">
        <v>244.25277771514581</v>
      </c>
      <c r="E884">
        <v>268.38114182133262</v>
      </c>
      <c r="F884">
        <v>266.28958201988104</v>
      </c>
      <c r="G884">
        <v>258.63228640056917</v>
      </c>
      <c r="H884">
        <v>277.93512653562965</v>
      </c>
      <c r="I884">
        <v>317.03858741924842</v>
      </c>
      <c r="J884">
        <v>330.95892750792268</v>
      </c>
      <c r="K884">
        <v>345.18877318001387</v>
      </c>
      <c r="L884">
        <v>396.55451315726316</v>
      </c>
    </row>
    <row r="885" spans="1:12" x14ac:dyDescent="0.25">
      <c r="A885">
        <v>250.935257821145</v>
      </c>
      <c r="B885">
        <v>272.03116116795388</v>
      </c>
      <c r="C885">
        <v>244.71131877747646</v>
      </c>
      <c r="D885">
        <v>261.40253271794398</v>
      </c>
      <c r="E885">
        <v>289.81972147661065</v>
      </c>
      <c r="F885">
        <v>255.53645392171921</v>
      </c>
      <c r="G885">
        <v>283.81465324556103</v>
      </c>
      <c r="H885">
        <v>280.09872672008936</v>
      </c>
      <c r="I885">
        <v>292.16749078239792</v>
      </c>
      <c r="J885">
        <v>315.75364318171489</v>
      </c>
      <c r="K885">
        <v>356.27139906709039</v>
      </c>
      <c r="L885">
        <v>419.41830029567188</v>
      </c>
    </row>
    <row r="886" spans="1:12" x14ac:dyDescent="0.25">
      <c r="A886">
        <v>260.27531475546334</v>
      </c>
      <c r="B886">
        <v>275.71549544725849</v>
      </c>
      <c r="C886">
        <v>250.91348668847971</v>
      </c>
      <c r="D886">
        <v>242.56624243560702</v>
      </c>
      <c r="E886">
        <v>296.618292803202</v>
      </c>
      <c r="F886">
        <v>271.40732058857418</v>
      </c>
      <c r="G886">
        <v>271.73706579961885</v>
      </c>
      <c r="H886">
        <v>272.50166571912467</v>
      </c>
      <c r="I886">
        <v>310.5570608151703</v>
      </c>
      <c r="J886">
        <v>328.55200798521321</v>
      </c>
      <c r="K886">
        <v>345.05489788868067</v>
      </c>
      <c r="L886">
        <v>399.98555596677636</v>
      </c>
    </row>
    <row r="887" spans="1:12" x14ac:dyDescent="0.25">
      <c r="A887">
        <v>248.0053993874632</v>
      </c>
      <c r="B887">
        <v>248.19700820011209</v>
      </c>
      <c r="C887">
        <v>235.69182285060157</v>
      </c>
      <c r="D887">
        <v>233.99595066499364</v>
      </c>
      <c r="E887">
        <v>286.29776594758647</v>
      </c>
      <c r="F887">
        <v>232.96649285630929</v>
      </c>
      <c r="G887">
        <v>256.71019342195734</v>
      </c>
      <c r="H887">
        <v>248.28101620859303</v>
      </c>
      <c r="I887">
        <v>256.44626372815554</v>
      </c>
      <c r="J887">
        <v>254.13980333845186</v>
      </c>
      <c r="K887">
        <v>274.13328481216661</v>
      </c>
      <c r="L887">
        <v>296.13393662514096</v>
      </c>
    </row>
    <row r="888" spans="1:12" x14ac:dyDescent="0.25">
      <c r="A888">
        <v>246.45362595911774</v>
      </c>
      <c r="B888">
        <v>266.11520283215418</v>
      </c>
      <c r="C888">
        <v>267.96310871051094</v>
      </c>
      <c r="D888">
        <v>254.47480802944594</v>
      </c>
      <c r="E888">
        <v>299.00774468670284</v>
      </c>
      <c r="F888">
        <v>251.67427437424803</v>
      </c>
      <c r="G888">
        <v>270.83860045241431</v>
      </c>
      <c r="H888">
        <v>267.41030367574336</v>
      </c>
      <c r="I888">
        <v>313.2292213899442</v>
      </c>
      <c r="J888">
        <v>313.47028568323793</v>
      </c>
      <c r="K888">
        <v>317.49764564607733</v>
      </c>
      <c r="L888">
        <v>380.24788446229354</v>
      </c>
    </row>
    <row r="889" spans="1:12" x14ac:dyDescent="0.25">
      <c r="A889">
        <v>238.78322044520124</v>
      </c>
      <c r="B889">
        <v>271.43058362958112</v>
      </c>
      <c r="C889">
        <v>235.80503120064412</v>
      </c>
      <c r="D889">
        <v>236.92117640457471</v>
      </c>
      <c r="E889">
        <v>275.34077896742889</v>
      </c>
      <c r="F889">
        <v>236.38728341159941</v>
      </c>
      <c r="G889">
        <v>260.50879064010604</v>
      </c>
      <c r="H889">
        <v>265.45466712775055</v>
      </c>
      <c r="I889">
        <v>297.01114279958983</v>
      </c>
      <c r="J889">
        <v>305.31210642798226</v>
      </c>
      <c r="K889">
        <v>338.94124495320773</v>
      </c>
      <c r="L889">
        <v>388.18228436675582</v>
      </c>
    </row>
    <row r="890" spans="1:12" x14ac:dyDescent="0.25">
      <c r="A890">
        <v>233.62052866138646</v>
      </c>
      <c r="B890">
        <v>250.85579332616553</v>
      </c>
      <c r="C890">
        <v>233.68095965268139</v>
      </c>
      <c r="D890">
        <v>231.50282185292693</v>
      </c>
      <c r="E890">
        <v>275.01569204504807</v>
      </c>
      <c r="F890">
        <v>239.40135203058176</v>
      </c>
      <c r="G890">
        <v>252.00876902288292</v>
      </c>
      <c r="H890">
        <v>259.4985859984476</v>
      </c>
      <c r="I890">
        <v>268.60992489355289</v>
      </c>
      <c r="J890">
        <v>297.28829716528867</v>
      </c>
      <c r="K890">
        <v>323.31247418551055</v>
      </c>
      <c r="L890">
        <v>371.47502052811569</v>
      </c>
    </row>
    <row r="891" spans="1:12" x14ac:dyDescent="0.25">
      <c r="A891">
        <v>234.21911077395185</v>
      </c>
      <c r="B891">
        <v>253.02956086693126</v>
      </c>
      <c r="C891">
        <v>236.44873718213307</v>
      </c>
      <c r="D891">
        <v>228.19858292755802</v>
      </c>
      <c r="E891">
        <v>274.40947526278455</v>
      </c>
      <c r="F891">
        <v>222.55474848821268</v>
      </c>
      <c r="G891">
        <v>229.49329530046049</v>
      </c>
      <c r="H891">
        <v>237.09862446232324</v>
      </c>
      <c r="I891">
        <v>242.13106571851674</v>
      </c>
      <c r="J891">
        <v>274.96729036868902</v>
      </c>
      <c r="K891">
        <v>271.18016775991805</v>
      </c>
      <c r="L891">
        <v>324.80456636639161</v>
      </c>
    </row>
    <row r="892" spans="1:12" x14ac:dyDescent="0.25">
      <c r="A892">
        <v>238.47515609390311</v>
      </c>
      <c r="B892">
        <v>259.12380964546151</v>
      </c>
      <c r="C892">
        <v>232.75733244429594</v>
      </c>
      <c r="D892">
        <v>251.14012600219561</v>
      </c>
      <c r="E892">
        <v>290.07109992055331</v>
      </c>
      <c r="F892">
        <v>252.2057764411044</v>
      </c>
      <c r="G892">
        <v>265.19780978571674</v>
      </c>
      <c r="H892">
        <v>298.33727969756097</v>
      </c>
      <c r="I892">
        <v>292.0518672413973</v>
      </c>
      <c r="J892">
        <v>334.16451786899222</v>
      </c>
      <c r="K892">
        <v>341.18220811107381</v>
      </c>
      <c r="L892">
        <v>404.95327281725048</v>
      </c>
    </row>
    <row r="893" spans="1:12" x14ac:dyDescent="0.25">
      <c r="A893">
        <v>240.26616920513632</v>
      </c>
      <c r="B893">
        <v>263.96423224610339</v>
      </c>
      <c r="C893">
        <v>223.81838801803826</v>
      </c>
      <c r="D893">
        <v>235.86854641424182</v>
      </c>
      <c r="E893">
        <v>261.60621003158838</v>
      </c>
      <c r="F893">
        <v>222.72655865798589</v>
      </c>
      <c r="G893">
        <v>238.85480939122536</v>
      </c>
      <c r="H893">
        <v>252.38363453987495</v>
      </c>
      <c r="I893">
        <v>257.16794085772779</v>
      </c>
      <c r="J893">
        <v>279.30911596094398</v>
      </c>
      <c r="K893">
        <v>307.88537354656216</v>
      </c>
      <c r="L893">
        <v>327.18627950405909</v>
      </c>
    </row>
    <row r="894" spans="1:12" x14ac:dyDescent="0.25">
      <c r="A894">
        <v>253.16364721039977</v>
      </c>
      <c r="B894">
        <v>257.38386527620077</v>
      </c>
      <c r="C894">
        <v>246.14529692715917</v>
      </c>
      <c r="D894">
        <v>250.56251204584939</v>
      </c>
      <c r="E894">
        <v>284.73322189455712</v>
      </c>
      <c r="F894">
        <v>246.48009589422097</v>
      </c>
      <c r="G894">
        <v>251.11353351941739</v>
      </c>
      <c r="H894">
        <v>254.03115048894054</v>
      </c>
      <c r="I894">
        <v>280.30002628077102</v>
      </c>
      <c r="J894">
        <v>298.43697494969177</v>
      </c>
      <c r="K894">
        <v>319.44440934996328</v>
      </c>
      <c r="L894">
        <v>358.34121866004671</v>
      </c>
    </row>
    <row r="895" spans="1:12" x14ac:dyDescent="0.25">
      <c r="A895">
        <v>262.51835375417721</v>
      </c>
      <c r="B895">
        <v>269.46797484766535</v>
      </c>
      <c r="C895">
        <v>259.92812690039909</v>
      </c>
      <c r="D895">
        <v>264.78072523615123</v>
      </c>
      <c r="E895">
        <v>308.61781089592279</v>
      </c>
      <c r="F895">
        <v>298.70408868361</v>
      </c>
      <c r="G895">
        <v>299.45111613697293</v>
      </c>
      <c r="H895">
        <v>320.56223519548951</v>
      </c>
      <c r="I895">
        <v>341.0563634233722</v>
      </c>
      <c r="J895">
        <v>365.84246645698965</v>
      </c>
      <c r="K895">
        <v>388.44040191528899</v>
      </c>
      <c r="L895">
        <v>467.09544171613925</v>
      </c>
    </row>
    <row r="896" spans="1:12" x14ac:dyDescent="0.25">
      <c r="A896">
        <v>225.22867004205784</v>
      </c>
      <c r="B896">
        <v>245.61183492784022</v>
      </c>
      <c r="C896">
        <v>225.04134379395146</v>
      </c>
      <c r="D896">
        <v>228.92710373057756</v>
      </c>
      <c r="E896">
        <v>264.83655825914713</v>
      </c>
      <c r="F896">
        <v>246.33404944126323</v>
      </c>
      <c r="G896">
        <v>245.85976660277055</v>
      </c>
      <c r="H896">
        <v>268.87662356926495</v>
      </c>
      <c r="I896">
        <v>288.78853352040136</v>
      </c>
      <c r="J896">
        <v>307.59368599014982</v>
      </c>
      <c r="K896">
        <v>315.01286380949841</v>
      </c>
      <c r="L896">
        <v>376.38509465112111</v>
      </c>
    </row>
    <row r="897" spans="1:12" x14ac:dyDescent="0.25">
      <c r="A897">
        <v>237.71386002285843</v>
      </c>
      <c r="B897">
        <v>278.57488927077395</v>
      </c>
      <c r="C897">
        <v>256.18336995901143</v>
      </c>
      <c r="D897">
        <v>258.99670249007994</v>
      </c>
      <c r="E897">
        <v>284.48017628365415</v>
      </c>
      <c r="F897">
        <v>242.5821957367863</v>
      </c>
      <c r="G897">
        <v>282.10320130382047</v>
      </c>
      <c r="H897">
        <v>273.75369729259785</v>
      </c>
      <c r="I897">
        <v>302.25135455660103</v>
      </c>
      <c r="J897">
        <v>314.69993832870989</v>
      </c>
      <c r="K897">
        <v>328.98165875684259</v>
      </c>
      <c r="L897">
        <v>387.3448997013233</v>
      </c>
    </row>
    <row r="898" spans="1:12" x14ac:dyDescent="0.25">
      <c r="A898">
        <v>219.00857740586795</v>
      </c>
      <c r="B898">
        <v>260.43850267275297</v>
      </c>
      <c r="C898">
        <v>240.25213471198887</v>
      </c>
      <c r="D898">
        <v>243.42704717115768</v>
      </c>
      <c r="E898">
        <v>286.24845457210091</v>
      </c>
      <c r="F898">
        <v>237.56069508006325</v>
      </c>
      <c r="G898">
        <v>250.8325946462312</v>
      </c>
      <c r="H898">
        <v>264.18599541837159</v>
      </c>
      <c r="I898">
        <v>287.86482453501912</v>
      </c>
      <c r="J898">
        <v>300.88875847672358</v>
      </c>
      <c r="K898">
        <v>312.90143796167217</v>
      </c>
      <c r="L898">
        <v>372.92565293584573</v>
      </c>
    </row>
    <row r="899" spans="1:12" x14ac:dyDescent="0.25">
      <c r="A899">
        <v>262.80330538599856</v>
      </c>
      <c r="B899">
        <v>279.19400889213426</v>
      </c>
      <c r="C899">
        <v>251.15457205205234</v>
      </c>
      <c r="D899">
        <v>252.44639875060153</v>
      </c>
      <c r="E899">
        <v>301.66675321731742</v>
      </c>
      <c r="F899">
        <v>268.97462200893079</v>
      </c>
      <c r="G899">
        <v>260.8199990246095</v>
      </c>
      <c r="H899">
        <v>263.32311026658789</v>
      </c>
      <c r="I899">
        <v>290.69257564542824</v>
      </c>
      <c r="J899">
        <v>299.86089193045331</v>
      </c>
      <c r="K899">
        <v>314.51026578704437</v>
      </c>
      <c r="L899">
        <v>383.49856270342565</v>
      </c>
    </row>
    <row r="900" spans="1:12" x14ac:dyDescent="0.25">
      <c r="A900">
        <v>249.26414414543936</v>
      </c>
      <c r="B900">
        <v>247.485433064331</v>
      </c>
      <c r="C900">
        <v>238.57914405520722</v>
      </c>
      <c r="D900">
        <v>236.69741141174612</v>
      </c>
      <c r="E900">
        <v>258.64424687103747</v>
      </c>
      <c r="F900">
        <v>250.2403813456107</v>
      </c>
      <c r="G900">
        <v>266.35538919795277</v>
      </c>
      <c r="H900">
        <v>266.66977929525387</v>
      </c>
      <c r="I900">
        <v>294.99753597232319</v>
      </c>
      <c r="J900">
        <v>311.13255231507532</v>
      </c>
      <c r="K900">
        <v>324.15053920815188</v>
      </c>
      <c r="L900">
        <v>388.52828299099809</v>
      </c>
    </row>
    <row r="901" spans="1:12" x14ac:dyDescent="0.25">
      <c r="A901">
        <v>246.11752404996113</v>
      </c>
      <c r="B901">
        <v>269.59777065646108</v>
      </c>
      <c r="C901">
        <v>244.23243257865875</v>
      </c>
      <c r="D901">
        <v>233.40661337331531</v>
      </c>
      <c r="E901">
        <v>276.44938298781727</v>
      </c>
      <c r="F901">
        <v>243.7302054506205</v>
      </c>
      <c r="G901">
        <v>263.42503062617908</v>
      </c>
      <c r="H901">
        <v>244.42401037657882</v>
      </c>
      <c r="I901">
        <v>259.3025865782717</v>
      </c>
      <c r="J901">
        <v>299.01713637397148</v>
      </c>
      <c r="K901">
        <v>300.32969600955875</v>
      </c>
      <c r="L901">
        <v>354.71180495754845</v>
      </c>
    </row>
    <row r="902" spans="1:12" x14ac:dyDescent="0.25">
      <c r="A902">
        <v>243.80421335595577</v>
      </c>
      <c r="B902">
        <v>251.59161289695277</v>
      </c>
      <c r="C902">
        <v>231.24788957514741</v>
      </c>
      <c r="D902">
        <v>219.62179146442165</v>
      </c>
      <c r="E902">
        <v>287.12916773251067</v>
      </c>
      <c r="F902">
        <v>245.9111166292474</v>
      </c>
      <c r="G902">
        <v>236.27424582463158</v>
      </c>
      <c r="H902">
        <v>237.02448320003313</v>
      </c>
      <c r="I902">
        <v>266.16227489409283</v>
      </c>
      <c r="J902">
        <v>280.42193095409476</v>
      </c>
      <c r="K902">
        <v>291.27066513766755</v>
      </c>
      <c r="L902">
        <v>314.86126329994727</v>
      </c>
    </row>
    <row r="903" spans="1:12" x14ac:dyDescent="0.25">
      <c r="A903">
        <v>252.08311530951087</v>
      </c>
      <c r="B903">
        <v>265.59096851707994</v>
      </c>
      <c r="C903">
        <v>240.8942418972153</v>
      </c>
      <c r="D903">
        <v>244.81240388442063</v>
      </c>
      <c r="E903">
        <v>256.81536451515626</v>
      </c>
      <c r="F903">
        <v>235.70112493059827</v>
      </c>
      <c r="G903">
        <v>245.63281159803608</v>
      </c>
      <c r="H903">
        <v>261.80723419075605</v>
      </c>
      <c r="I903">
        <v>278.70595641458937</v>
      </c>
      <c r="J903">
        <v>285.33751651537904</v>
      </c>
      <c r="K903">
        <v>305.53570277507174</v>
      </c>
      <c r="L903">
        <v>365.70829522351539</v>
      </c>
    </row>
    <row r="904" spans="1:12" x14ac:dyDescent="0.25">
      <c r="A904">
        <v>248.79399220102562</v>
      </c>
      <c r="B904">
        <v>256.21739957161714</v>
      </c>
      <c r="C904">
        <v>228.23709701489091</v>
      </c>
      <c r="D904">
        <v>247.46818110107748</v>
      </c>
      <c r="E904">
        <v>280.71973183728642</v>
      </c>
      <c r="F904">
        <v>244.27793511643054</v>
      </c>
      <c r="G904">
        <v>263.11686554281073</v>
      </c>
      <c r="H904">
        <v>270.15840546810853</v>
      </c>
      <c r="I904">
        <v>291.79723926738416</v>
      </c>
      <c r="J904">
        <v>312.03975609025042</v>
      </c>
      <c r="K904">
        <v>324.96143782576468</v>
      </c>
      <c r="L904">
        <v>373.23582739098225</v>
      </c>
    </row>
    <row r="905" spans="1:12" x14ac:dyDescent="0.25">
      <c r="A905">
        <v>244.61428521014565</v>
      </c>
      <c r="B905">
        <v>265.86576738742997</v>
      </c>
      <c r="C905">
        <v>252.26872444931419</v>
      </c>
      <c r="D905">
        <v>244.17088290905676</v>
      </c>
      <c r="E905">
        <v>289.36420546434499</v>
      </c>
      <c r="F905">
        <v>246.32741418982312</v>
      </c>
      <c r="G905">
        <v>257.97344086132387</v>
      </c>
      <c r="H905">
        <v>255.00422757007107</v>
      </c>
      <c r="I905">
        <v>299.24850574067477</v>
      </c>
      <c r="J905">
        <v>293.27226868252501</v>
      </c>
      <c r="K905">
        <v>300.55382379545745</v>
      </c>
      <c r="L905">
        <v>353.95626526885945</v>
      </c>
    </row>
    <row r="906" spans="1:12" x14ac:dyDescent="0.25">
      <c r="A906">
        <v>254.02305072802889</v>
      </c>
      <c r="B906">
        <v>254.01552308052399</v>
      </c>
      <c r="C906">
        <v>247.89470102668062</v>
      </c>
      <c r="D906">
        <v>233.99191737205004</v>
      </c>
      <c r="E906">
        <v>279.18359670617218</v>
      </c>
      <c r="F906">
        <v>247.2918918367638</v>
      </c>
      <c r="G906">
        <v>264.81760137403307</v>
      </c>
      <c r="H906">
        <v>263.40313332376508</v>
      </c>
      <c r="I906">
        <v>289.06406393116981</v>
      </c>
      <c r="J906">
        <v>304.86646281693919</v>
      </c>
      <c r="K906">
        <v>299.78043633957816</v>
      </c>
      <c r="L906">
        <v>368.38025805939628</v>
      </c>
    </row>
    <row r="907" spans="1:12" x14ac:dyDescent="0.25">
      <c r="A907">
        <v>253.94926894098541</v>
      </c>
      <c r="B907">
        <v>271.0709366244256</v>
      </c>
      <c r="C907">
        <v>247.67173751846468</v>
      </c>
      <c r="D907">
        <v>239.83323083803802</v>
      </c>
      <c r="E907">
        <v>280.6755223160232</v>
      </c>
      <c r="F907">
        <v>266.07112343240476</v>
      </c>
      <c r="G907">
        <v>275.15146913824128</v>
      </c>
      <c r="H907">
        <v>283.19248628751791</v>
      </c>
      <c r="I907">
        <v>305.03171556376969</v>
      </c>
      <c r="J907">
        <v>320.30317828237077</v>
      </c>
      <c r="K907">
        <v>337.5463774740806</v>
      </c>
      <c r="L907">
        <v>408.53774622823522</v>
      </c>
    </row>
    <row r="908" spans="1:12" x14ac:dyDescent="0.25">
      <c r="A908">
        <v>238.3281805214398</v>
      </c>
      <c r="B908">
        <v>255.00214676670933</v>
      </c>
      <c r="C908">
        <v>235.58754489060263</v>
      </c>
      <c r="D908">
        <v>230.99500861283073</v>
      </c>
      <c r="E908">
        <v>271.07636444606482</v>
      </c>
      <c r="F908">
        <v>249.69157889659186</v>
      </c>
      <c r="G908">
        <v>246.06383896562315</v>
      </c>
      <c r="H908">
        <v>259.41424289138348</v>
      </c>
      <c r="I908">
        <v>279.96400094163414</v>
      </c>
      <c r="J908">
        <v>287.87933744133198</v>
      </c>
      <c r="K908">
        <v>294.74043066184799</v>
      </c>
      <c r="L908">
        <v>348.3528979465832</v>
      </c>
    </row>
    <row r="909" spans="1:12" x14ac:dyDescent="0.25">
      <c r="A909">
        <v>243.16966521591073</v>
      </c>
      <c r="B909">
        <v>268.01728674752081</v>
      </c>
      <c r="C909">
        <v>232.29491019864398</v>
      </c>
      <c r="D909">
        <v>246.67292962982563</v>
      </c>
      <c r="E909">
        <v>294.96660004450194</v>
      </c>
      <c r="F909">
        <v>246.3691999861833</v>
      </c>
      <c r="G909">
        <v>256.14355773965838</v>
      </c>
      <c r="H909">
        <v>260.87323663613404</v>
      </c>
      <c r="I909">
        <v>292.40119991020572</v>
      </c>
      <c r="J909">
        <v>300.97804148974024</v>
      </c>
      <c r="K909">
        <v>335.46001136023858</v>
      </c>
      <c r="L909">
        <v>373.00221947325969</v>
      </c>
    </row>
    <row r="910" spans="1:12" x14ac:dyDescent="0.25">
      <c r="A910">
        <v>249.59693067351225</v>
      </c>
      <c r="B910">
        <v>245.04391368480228</v>
      </c>
      <c r="C910">
        <v>229.48560094298119</v>
      </c>
      <c r="D910">
        <v>231.75413339164928</v>
      </c>
      <c r="E910">
        <v>264.02981102922553</v>
      </c>
      <c r="F910">
        <v>251.50153487458161</v>
      </c>
      <c r="G910">
        <v>250.78035842734587</v>
      </c>
      <c r="H910">
        <v>259.58549968982561</v>
      </c>
      <c r="I910">
        <v>264.19482943327984</v>
      </c>
      <c r="J910">
        <v>298.77323564258188</v>
      </c>
      <c r="K910">
        <v>301.22782533539572</v>
      </c>
      <c r="L910">
        <v>353.53737188251193</v>
      </c>
    </row>
    <row r="911" spans="1:12" x14ac:dyDescent="0.25">
      <c r="A911">
        <v>268.46646185288478</v>
      </c>
      <c r="B911">
        <v>260.29222870194025</v>
      </c>
      <c r="C911">
        <v>272.76342369058898</v>
      </c>
      <c r="D911">
        <v>263.14096216451196</v>
      </c>
      <c r="E911">
        <v>291.01322859329196</v>
      </c>
      <c r="F911">
        <v>271.37346677394549</v>
      </c>
      <c r="G911">
        <v>283.08687046484016</v>
      </c>
      <c r="H911">
        <v>289.96723438407298</v>
      </c>
      <c r="I911">
        <v>311.06299733025713</v>
      </c>
      <c r="J911">
        <v>335.67103325991707</v>
      </c>
      <c r="K911">
        <v>357.81375518387586</v>
      </c>
      <c r="L911">
        <v>426.25376215368169</v>
      </c>
    </row>
    <row r="912" spans="1:12" x14ac:dyDescent="0.25">
      <c r="A912">
        <v>238.54942827620675</v>
      </c>
      <c r="B912">
        <v>255.98021143810067</v>
      </c>
      <c r="C912">
        <v>243.5523640983873</v>
      </c>
      <c r="D912">
        <v>228.43011984331528</v>
      </c>
      <c r="E912">
        <v>278.14193277630483</v>
      </c>
      <c r="F912">
        <v>246.49955982901446</v>
      </c>
      <c r="G912">
        <v>270.07942906473733</v>
      </c>
      <c r="H912">
        <v>261.19021513945711</v>
      </c>
      <c r="I912">
        <v>279.60933727780133</v>
      </c>
      <c r="J912">
        <v>314.82272221456083</v>
      </c>
      <c r="K912">
        <v>323.52337215530213</v>
      </c>
      <c r="L912">
        <v>370.60220831887676</v>
      </c>
    </row>
    <row r="913" spans="1:12" x14ac:dyDescent="0.25">
      <c r="A913">
        <v>256.08680816256123</v>
      </c>
      <c r="B913">
        <v>256.23797567886641</v>
      </c>
      <c r="C913">
        <v>259.96554251589612</v>
      </c>
      <c r="D913">
        <v>236.34474630458786</v>
      </c>
      <c r="E913">
        <v>279.52068457974332</v>
      </c>
      <c r="F913">
        <v>246.37151521243038</v>
      </c>
      <c r="G913">
        <v>261.43077364520212</v>
      </c>
      <c r="H913">
        <v>255.1442732996415</v>
      </c>
      <c r="I913">
        <v>276.09354070561488</v>
      </c>
      <c r="J913">
        <v>299.56723566224554</v>
      </c>
      <c r="K913">
        <v>323.01300204683105</v>
      </c>
      <c r="L913">
        <v>353.99911679895638</v>
      </c>
    </row>
    <row r="914" spans="1:12" x14ac:dyDescent="0.25">
      <c r="A914">
        <v>262.28032576372414</v>
      </c>
      <c r="B914">
        <v>258.91056033435484</v>
      </c>
      <c r="C914">
        <v>257.48646360466523</v>
      </c>
      <c r="D914">
        <v>246.63377266653012</v>
      </c>
      <c r="E914">
        <v>282.4045111645803</v>
      </c>
      <c r="F914">
        <v>251.55949284193744</v>
      </c>
      <c r="G914">
        <v>272.14855617242</v>
      </c>
      <c r="H914">
        <v>264.71253462019871</v>
      </c>
      <c r="I914">
        <v>282.21337557286688</v>
      </c>
      <c r="J914">
        <v>311.78894980805586</v>
      </c>
      <c r="K914">
        <v>327.93805228862129</v>
      </c>
      <c r="L914">
        <v>391.75159216415932</v>
      </c>
    </row>
    <row r="915" spans="1:12" x14ac:dyDescent="0.25">
      <c r="A915">
        <v>242.25385443636196</v>
      </c>
      <c r="B915">
        <v>238.45190737836907</v>
      </c>
      <c r="C915">
        <v>244.80313535498431</v>
      </c>
      <c r="D915">
        <v>240.37394940211058</v>
      </c>
      <c r="E915">
        <v>269.84895711165103</v>
      </c>
      <c r="F915">
        <v>227.50557849581693</v>
      </c>
      <c r="G915">
        <v>251.45648211323123</v>
      </c>
      <c r="H915">
        <v>225.29087289913159</v>
      </c>
      <c r="I915">
        <v>256.051253041378</v>
      </c>
      <c r="J915">
        <v>281.89761534929028</v>
      </c>
      <c r="K915">
        <v>281.3319918841641</v>
      </c>
      <c r="L915">
        <v>336.04570048748889</v>
      </c>
    </row>
    <row r="916" spans="1:12" x14ac:dyDescent="0.25">
      <c r="A916">
        <v>256.1552047551761</v>
      </c>
      <c r="B916">
        <v>287.22670374753835</v>
      </c>
      <c r="C916">
        <v>244.59687357997004</v>
      </c>
      <c r="D916">
        <v>227.6632301932197</v>
      </c>
      <c r="E916">
        <v>293.99598839831532</v>
      </c>
      <c r="F916">
        <v>277.02721872994624</v>
      </c>
      <c r="G916">
        <v>271.84672304166628</v>
      </c>
      <c r="H916">
        <v>281.94229687637397</v>
      </c>
      <c r="I916">
        <v>313.94292657021185</v>
      </c>
      <c r="J916">
        <v>307.42815692533253</v>
      </c>
      <c r="K916">
        <v>335.68848576425239</v>
      </c>
      <c r="L916">
        <v>410.16479327370075</v>
      </c>
    </row>
    <row r="917" spans="1:12" x14ac:dyDescent="0.25">
      <c r="A917">
        <v>246.23843883310971</v>
      </c>
      <c r="B917">
        <v>275.42284381133908</v>
      </c>
      <c r="C917">
        <v>252.86550797955766</v>
      </c>
      <c r="D917">
        <v>254.03536123141558</v>
      </c>
      <c r="E917">
        <v>275.42576708595664</v>
      </c>
      <c r="F917">
        <v>252.04549966420169</v>
      </c>
      <c r="G917">
        <v>272.30909643302095</v>
      </c>
      <c r="H917">
        <v>263.37578549446721</v>
      </c>
      <c r="I917">
        <v>295.18852276220031</v>
      </c>
      <c r="J917">
        <v>297.36696059043987</v>
      </c>
      <c r="K917">
        <v>315.06644685500089</v>
      </c>
      <c r="L917">
        <v>351.36486569736769</v>
      </c>
    </row>
    <row r="918" spans="1:12" x14ac:dyDescent="0.25">
      <c r="A918">
        <v>246.20530933118172</v>
      </c>
      <c r="B918">
        <v>264.72386029588989</v>
      </c>
      <c r="C918">
        <v>254.14486688107939</v>
      </c>
      <c r="D918">
        <v>245.71322443369286</v>
      </c>
      <c r="E918">
        <v>300.19154679053861</v>
      </c>
      <c r="F918">
        <v>262.86687163422101</v>
      </c>
      <c r="G918">
        <v>277.30223576429711</v>
      </c>
      <c r="H918">
        <v>291.80553224582638</v>
      </c>
      <c r="I918">
        <v>301.54692158084111</v>
      </c>
      <c r="J918">
        <v>323.11076448230801</v>
      </c>
      <c r="K918">
        <v>361.87546018792119</v>
      </c>
      <c r="L918">
        <v>406.59337732963644</v>
      </c>
    </row>
    <row r="919" spans="1:12" x14ac:dyDescent="0.25">
      <c r="A919">
        <v>253.78515287624938</v>
      </c>
      <c r="B919">
        <v>267.56591499356529</v>
      </c>
      <c r="C919">
        <v>251.27639206748867</v>
      </c>
      <c r="D919">
        <v>247.83878063303607</v>
      </c>
      <c r="E919">
        <v>280.2963713852007</v>
      </c>
      <c r="F919">
        <v>261.4922537315461</v>
      </c>
      <c r="G919">
        <v>263.90008034715908</v>
      </c>
      <c r="H919">
        <v>269.20385876113062</v>
      </c>
      <c r="I919">
        <v>294.9512281259959</v>
      </c>
      <c r="J919">
        <v>312.74726929174778</v>
      </c>
      <c r="K919">
        <v>328.83788208019331</v>
      </c>
      <c r="L919">
        <v>374.96107132940381</v>
      </c>
    </row>
    <row r="920" spans="1:12" x14ac:dyDescent="0.25">
      <c r="A920">
        <v>241.1587726854541</v>
      </c>
      <c r="B920">
        <v>274.00183622292695</v>
      </c>
      <c r="C920">
        <v>236.03621622882602</v>
      </c>
      <c r="D920">
        <v>242.26181123289038</v>
      </c>
      <c r="E920">
        <v>263.57348765361041</v>
      </c>
      <c r="F920">
        <v>243.58810522273768</v>
      </c>
      <c r="G920">
        <v>264.44829587359516</v>
      </c>
      <c r="H920">
        <v>255.865301668765</v>
      </c>
      <c r="I920">
        <v>266.94622159489052</v>
      </c>
      <c r="J920">
        <v>299.8852944152099</v>
      </c>
      <c r="K920">
        <v>301.57502826180621</v>
      </c>
      <c r="L920">
        <v>364.92416731547252</v>
      </c>
    </row>
    <row r="921" spans="1:12" x14ac:dyDescent="0.25">
      <c r="A921">
        <v>249.32651718455523</v>
      </c>
      <c r="B921">
        <v>266.29314305050104</v>
      </c>
      <c r="C921">
        <v>225.03935417636168</v>
      </c>
      <c r="D921">
        <v>250.98170795131819</v>
      </c>
      <c r="E921">
        <v>294.78148626496159</v>
      </c>
      <c r="F921">
        <v>258.04272621787902</v>
      </c>
      <c r="G921">
        <v>257.09641291598564</v>
      </c>
      <c r="H921">
        <v>251.98622758231835</v>
      </c>
      <c r="I921">
        <v>295.03935351753114</v>
      </c>
      <c r="J921">
        <v>302.36538087071671</v>
      </c>
      <c r="K921">
        <v>301.68580590646263</v>
      </c>
      <c r="L921">
        <v>347.13209288728797</v>
      </c>
    </row>
    <row r="922" spans="1:12" x14ac:dyDescent="0.25">
      <c r="A922">
        <v>261.41997256395143</v>
      </c>
      <c r="B922">
        <v>266.22003855589054</v>
      </c>
      <c r="C922">
        <v>242.34299100711064</v>
      </c>
      <c r="D922">
        <v>246.90465980699491</v>
      </c>
      <c r="E922">
        <v>289.91982401281047</v>
      </c>
      <c r="F922">
        <v>256.13453800954642</v>
      </c>
      <c r="G922">
        <v>254.99012248637925</v>
      </c>
      <c r="H922">
        <v>264.14465441714003</v>
      </c>
      <c r="I922">
        <v>285.82306465063141</v>
      </c>
      <c r="J922">
        <v>293.89222035722457</v>
      </c>
      <c r="K922">
        <v>311.67818975222235</v>
      </c>
      <c r="L922">
        <v>361.95784760558149</v>
      </c>
    </row>
    <row r="923" spans="1:12" x14ac:dyDescent="0.25">
      <c r="A923">
        <v>238.50005990577827</v>
      </c>
      <c r="B923">
        <v>261.81439070300502</v>
      </c>
      <c r="C923">
        <v>225.36469126094235</v>
      </c>
      <c r="D923">
        <v>240.61263806184439</v>
      </c>
      <c r="E923">
        <v>260.67346379283248</v>
      </c>
      <c r="F923">
        <v>233.71585841580543</v>
      </c>
      <c r="G923">
        <v>251.74962851444042</v>
      </c>
      <c r="H923">
        <v>251.05961096424736</v>
      </c>
      <c r="I923">
        <v>257.16790189821802</v>
      </c>
      <c r="J923">
        <v>254.9432757908707</v>
      </c>
      <c r="K923">
        <v>271.46636381639263</v>
      </c>
      <c r="L923">
        <v>294.39487002047588</v>
      </c>
    </row>
    <row r="924" spans="1:12" x14ac:dyDescent="0.25">
      <c r="A924">
        <v>250.46313672640918</v>
      </c>
      <c r="B924">
        <v>264.50490355084673</v>
      </c>
      <c r="C924">
        <v>248.15614846665312</v>
      </c>
      <c r="D924">
        <v>251.81520493168392</v>
      </c>
      <c r="E924">
        <v>277.66163475251648</v>
      </c>
      <c r="F924">
        <v>245.41150331157505</v>
      </c>
      <c r="G924">
        <v>259.82946396507953</v>
      </c>
      <c r="H924">
        <v>271.45941218532926</v>
      </c>
      <c r="I924">
        <v>291.11195044111145</v>
      </c>
      <c r="J924">
        <v>292.53736448841323</v>
      </c>
      <c r="K924">
        <v>295.23663629538135</v>
      </c>
      <c r="L924">
        <v>363.61851954284282</v>
      </c>
    </row>
    <row r="925" spans="1:12" x14ac:dyDescent="0.25">
      <c r="A925">
        <v>235.6893673953106</v>
      </c>
      <c r="B925">
        <v>259.55786875565474</v>
      </c>
      <c r="C925">
        <v>227.70773396325887</v>
      </c>
      <c r="D925">
        <v>215.88412392875509</v>
      </c>
      <c r="E925">
        <v>265.11833925734038</v>
      </c>
      <c r="F925">
        <v>251.65677621898786</v>
      </c>
      <c r="G925">
        <v>242.9046909665895</v>
      </c>
      <c r="H925">
        <v>260.10842650235594</v>
      </c>
      <c r="I925">
        <v>274.29419592768141</v>
      </c>
      <c r="J925">
        <v>286.51092350000744</v>
      </c>
      <c r="K925">
        <v>308.42942180601142</v>
      </c>
      <c r="L925">
        <v>370.68218021119299</v>
      </c>
    </row>
    <row r="926" spans="1:12" x14ac:dyDescent="0.25">
      <c r="A926">
        <v>234.64408906262989</v>
      </c>
      <c r="B926">
        <v>258.74298558598008</v>
      </c>
      <c r="C926">
        <v>241.49717635193085</v>
      </c>
      <c r="D926">
        <v>230.57472101319624</v>
      </c>
      <c r="E926">
        <v>271.12740910517175</v>
      </c>
      <c r="F926">
        <v>237.15330631821249</v>
      </c>
      <c r="G926">
        <v>238.39181095049224</v>
      </c>
      <c r="H926">
        <v>242.70109150328886</v>
      </c>
      <c r="I926">
        <v>260.07117794520713</v>
      </c>
      <c r="J926">
        <v>272.76946558862784</v>
      </c>
      <c r="K926">
        <v>277.36430057370694</v>
      </c>
      <c r="L926">
        <v>328.73045190478382</v>
      </c>
    </row>
    <row r="927" spans="1:12" x14ac:dyDescent="0.25">
      <c r="A927">
        <v>251.92863495244143</v>
      </c>
      <c r="B927">
        <v>261.84082379709946</v>
      </c>
      <c r="C927">
        <v>241.50528309444897</v>
      </c>
      <c r="D927">
        <v>230.666652826844</v>
      </c>
      <c r="E927">
        <v>287.80100060495215</v>
      </c>
      <c r="F927">
        <v>249.73712565128952</v>
      </c>
      <c r="G927">
        <v>229.97561043723925</v>
      </c>
      <c r="H927">
        <v>240.12831861916385</v>
      </c>
      <c r="I927">
        <v>268.63614869612184</v>
      </c>
      <c r="J927">
        <v>278.38967928682894</v>
      </c>
      <c r="K927">
        <v>287.83441957771686</v>
      </c>
      <c r="L927">
        <v>354.47642242638966</v>
      </c>
    </row>
    <row r="928" spans="1:12" x14ac:dyDescent="0.25">
      <c r="A928">
        <v>252.6121906949538</v>
      </c>
      <c r="B928">
        <v>255.96374233824673</v>
      </c>
      <c r="C928">
        <v>226.58881821909449</v>
      </c>
      <c r="D928">
        <v>235.92530205421454</v>
      </c>
      <c r="E928">
        <v>265.47920829328206</v>
      </c>
      <c r="F928">
        <v>229.0541111090578</v>
      </c>
      <c r="G928">
        <v>235.7745400323634</v>
      </c>
      <c r="H928">
        <v>243.21862440333462</v>
      </c>
      <c r="I928">
        <v>249.78375273098013</v>
      </c>
      <c r="J928">
        <v>278.95632894276201</v>
      </c>
      <c r="K928">
        <v>284.92240239661595</v>
      </c>
      <c r="L928">
        <v>330.93314629742753</v>
      </c>
    </row>
    <row r="929" spans="1:12" x14ac:dyDescent="0.25">
      <c r="A929">
        <v>265.4452452323506</v>
      </c>
      <c r="B929">
        <v>261.48179602886148</v>
      </c>
      <c r="C929">
        <v>254.91042794721486</v>
      </c>
      <c r="D929">
        <v>254.04328911959604</v>
      </c>
      <c r="E929">
        <v>301.26068059313849</v>
      </c>
      <c r="F929">
        <v>246.34470910978285</v>
      </c>
      <c r="G929">
        <v>279.90277097382221</v>
      </c>
      <c r="H929">
        <v>289.96342959554602</v>
      </c>
      <c r="I929">
        <v>300.64851336440574</v>
      </c>
      <c r="J929">
        <v>326.27598884886436</v>
      </c>
      <c r="K929">
        <v>331.96547030677527</v>
      </c>
      <c r="L929">
        <v>375.63777847131763</v>
      </c>
    </row>
    <row r="930" spans="1:12" x14ac:dyDescent="0.25">
      <c r="A930">
        <v>261.06262073027699</v>
      </c>
      <c r="B930">
        <v>264.72284657765539</v>
      </c>
      <c r="C930">
        <v>230.36172719231732</v>
      </c>
      <c r="D930">
        <v>249.56812910220185</v>
      </c>
      <c r="E930">
        <v>289.5621510376256</v>
      </c>
      <c r="F930">
        <v>265.08270780955905</v>
      </c>
      <c r="G930">
        <v>279.00534589116415</v>
      </c>
      <c r="H930">
        <v>275.79791765013886</v>
      </c>
      <c r="I930">
        <v>319.82102538251996</v>
      </c>
      <c r="J930">
        <v>335.28374371994045</v>
      </c>
      <c r="K930">
        <v>349.00713405209183</v>
      </c>
      <c r="L930">
        <v>407.03609213393605</v>
      </c>
    </row>
    <row r="931" spans="1:12" x14ac:dyDescent="0.25">
      <c r="A931">
        <v>256.33993190227909</v>
      </c>
      <c r="B931">
        <v>266.23799853023331</v>
      </c>
      <c r="C931">
        <v>250.47656453535095</v>
      </c>
      <c r="D931">
        <v>250.62714828957786</v>
      </c>
      <c r="E931">
        <v>284.49845944396242</v>
      </c>
      <c r="F931">
        <v>246.52289538642231</v>
      </c>
      <c r="G931">
        <v>265.43717719432664</v>
      </c>
      <c r="H931">
        <v>276.88197319423426</v>
      </c>
      <c r="I931">
        <v>294.86226951450482</v>
      </c>
      <c r="J931">
        <v>314.19760979303572</v>
      </c>
      <c r="K931">
        <v>332.96694620446618</v>
      </c>
      <c r="L931">
        <v>369.55820041809983</v>
      </c>
    </row>
    <row r="932" spans="1:12" x14ac:dyDescent="0.25">
      <c r="A932">
        <v>253.55089507544679</v>
      </c>
      <c r="B932">
        <v>262.01669193583712</v>
      </c>
      <c r="C932">
        <v>242.88387476002995</v>
      </c>
      <c r="D932">
        <v>261.5420451736195</v>
      </c>
      <c r="E932">
        <v>296.59307366744849</v>
      </c>
      <c r="F932">
        <v>260.48398903352415</v>
      </c>
      <c r="G932">
        <v>270.70418878911016</v>
      </c>
      <c r="H932">
        <v>268.49013909186073</v>
      </c>
      <c r="I932">
        <v>309.79983294416166</v>
      </c>
      <c r="J932">
        <v>343.65267069089867</v>
      </c>
      <c r="K932">
        <v>341.42879462380449</v>
      </c>
      <c r="L932">
        <v>415.04582575446096</v>
      </c>
    </row>
    <row r="933" spans="1:12" x14ac:dyDescent="0.25">
      <c r="A933">
        <v>251.24778119715026</v>
      </c>
      <c r="B933">
        <v>280.80991717094355</v>
      </c>
      <c r="C933">
        <v>247.66963434122374</v>
      </c>
      <c r="D933">
        <v>239.92257124014208</v>
      </c>
      <c r="E933">
        <v>280.29619320332495</v>
      </c>
      <c r="F933">
        <v>248.29282897444631</v>
      </c>
      <c r="G933">
        <v>276.06492839205691</v>
      </c>
      <c r="H933">
        <v>269.45310876614167</v>
      </c>
      <c r="I933">
        <v>287.40261649363282</v>
      </c>
      <c r="J933">
        <v>298.07416130643537</v>
      </c>
      <c r="K933">
        <v>320.39839318923453</v>
      </c>
      <c r="L933">
        <v>380.89261513004897</v>
      </c>
    </row>
    <row r="934" spans="1:12" x14ac:dyDescent="0.25">
      <c r="A934">
        <v>247.03492269793117</v>
      </c>
      <c r="B934">
        <v>265.19936944333699</v>
      </c>
      <c r="C934">
        <v>252.55262429916979</v>
      </c>
      <c r="D934">
        <v>242.32423486381094</v>
      </c>
      <c r="E934">
        <v>287.53114809791521</v>
      </c>
      <c r="F934">
        <v>257.16354059105868</v>
      </c>
      <c r="G934">
        <v>254.63083501364184</v>
      </c>
      <c r="H934">
        <v>265.58290395695735</v>
      </c>
      <c r="I934">
        <v>279.67293390815604</v>
      </c>
      <c r="J934">
        <v>285.97543848935641</v>
      </c>
      <c r="K934">
        <v>318.64296348657086</v>
      </c>
      <c r="L934">
        <v>359.30401489169685</v>
      </c>
    </row>
    <row r="935" spans="1:12" x14ac:dyDescent="0.25">
      <c r="A935">
        <v>248.83284915623003</v>
      </c>
      <c r="B935">
        <v>258.731264569041</v>
      </c>
      <c r="C935">
        <v>245.35111535793311</v>
      </c>
      <c r="D935">
        <v>241.88579886656152</v>
      </c>
      <c r="E935">
        <v>278.53176385174436</v>
      </c>
      <c r="F935">
        <v>256.54805968046662</v>
      </c>
      <c r="G935">
        <v>244.4286003151519</v>
      </c>
      <c r="H935">
        <v>263.64597625259125</v>
      </c>
      <c r="I935">
        <v>279.96371077524458</v>
      </c>
      <c r="J935">
        <v>291.85889487350778</v>
      </c>
      <c r="K935">
        <v>319.39806801402398</v>
      </c>
      <c r="L935">
        <v>348.6309214623372</v>
      </c>
    </row>
    <row r="936" spans="1:12" x14ac:dyDescent="0.25">
      <c r="A936">
        <v>241.20956868819482</v>
      </c>
      <c r="B936">
        <v>254.33994667586757</v>
      </c>
      <c r="C936">
        <v>243.16623906734745</v>
      </c>
      <c r="D936">
        <v>248.82490816408566</v>
      </c>
      <c r="E936">
        <v>293.26817263424465</v>
      </c>
      <c r="F936">
        <v>257.71220344295739</v>
      </c>
      <c r="G936">
        <v>264.02975755143029</v>
      </c>
      <c r="H936">
        <v>296.09698436482529</v>
      </c>
      <c r="I936">
        <v>310.61579240372282</v>
      </c>
      <c r="J936">
        <v>320.23706860780601</v>
      </c>
      <c r="K936">
        <v>342.51126832073544</v>
      </c>
      <c r="L936">
        <v>391.85701989593866</v>
      </c>
    </row>
    <row r="937" spans="1:12" x14ac:dyDescent="0.25">
      <c r="A937">
        <v>236.93390356351591</v>
      </c>
      <c r="B937">
        <v>242.90666051949125</v>
      </c>
      <c r="C937">
        <v>219.72273547758911</v>
      </c>
      <c r="D937">
        <v>237.7547991779671</v>
      </c>
      <c r="E937">
        <v>248.14982026759031</v>
      </c>
      <c r="F937">
        <v>232.75558263331951</v>
      </c>
      <c r="G937">
        <v>223.56432341089462</v>
      </c>
      <c r="H937">
        <v>243.15198408028644</v>
      </c>
      <c r="I937">
        <v>277.57802855049795</v>
      </c>
      <c r="J937">
        <v>274.34351331280192</v>
      </c>
      <c r="K937">
        <v>302.09454294124384</v>
      </c>
      <c r="L937">
        <v>340.28220676317937</v>
      </c>
    </row>
    <row r="938" spans="1:12" x14ac:dyDescent="0.25">
      <c r="A938">
        <v>244.64745977296798</v>
      </c>
      <c r="B938">
        <v>258.40030842632638</v>
      </c>
      <c r="C938">
        <v>241.16246651031432</v>
      </c>
      <c r="D938">
        <v>238.38911942749959</v>
      </c>
      <c r="E938">
        <v>274.18242803980013</v>
      </c>
      <c r="F938">
        <v>248.55934889544025</v>
      </c>
      <c r="G938">
        <v>257.59091271307204</v>
      </c>
      <c r="H938">
        <v>266.77174021765114</v>
      </c>
      <c r="I938">
        <v>308.85362443947179</v>
      </c>
      <c r="J938">
        <v>316.80039420954739</v>
      </c>
      <c r="K938">
        <v>336.98735959015323</v>
      </c>
      <c r="L938">
        <v>402.08110011781361</v>
      </c>
    </row>
    <row r="939" spans="1:12" x14ac:dyDescent="0.25">
      <c r="A939">
        <v>232.08877707497331</v>
      </c>
      <c r="B939">
        <v>280.72727870129773</v>
      </c>
      <c r="C939">
        <v>241.36452028593092</v>
      </c>
      <c r="D939">
        <v>231.61959324290538</v>
      </c>
      <c r="E939">
        <v>273.772230522798</v>
      </c>
      <c r="F939">
        <v>246.90999794057532</v>
      </c>
      <c r="G939">
        <v>263.34093386717012</v>
      </c>
      <c r="H939">
        <v>237.29167273494335</v>
      </c>
      <c r="I939">
        <v>284.75245596711494</v>
      </c>
      <c r="J939">
        <v>306.95837206298233</v>
      </c>
      <c r="K939">
        <v>313.09542141927744</v>
      </c>
      <c r="L939">
        <v>364.50205383282167</v>
      </c>
    </row>
    <row r="940" spans="1:12" x14ac:dyDescent="0.25">
      <c r="A940">
        <v>235.73404769618219</v>
      </c>
      <c r="B940">
        <v>256.48781021073296</v>
      </c>
      <c r="C940">
        <v>233.16391992508954</v>
      </c>
      <c r="D940">
        <v>234.0105547462725</v>
      </c>
      <c r="E940">
        <v>279.31086147775159</v>
      </c>
      <c r="F940">
        <v>244.69692575466911</v>
      </c>
      <c r="G940">
        <v>233.08017795384876</v>
      </c>
      <c r="H940">
        <v>259.47275078546625</v>
      </c>
      <c r="I940">
        <v>278.82395127425934</v>
      </c>
      <c r="J940">
        <v>282.73157873256599</v>
      </c>
      <c r="K940">
        <v>309.16167365941294</v>
      </c>
      <c r="L940">
        <v>363.50400663678835</v>
      </c>
    </row>
    <row r="941" spans="1:12" x14ac:dyDescent="0.25">
      <c r="A941">
        <v>244.62741221529845</v>
      </c>
      <c r="B941">
        <v>273.0647285997963</v>
      </c>
      <c r="C941">
        <v>252.59322903100761</v>
      </c>
      <c r="D941">
        <v>241.25267454759782</v>
      </c>
      <c r="E941">
        <v>274.24908561976667</v>
      </c>
      <c r="F941">
        <v>261.38698435251672</v>
      </c>
      <c r="G941">
        <v>245.34102431242377</v>
      </c>
      <c r="H941">
        <v>278.78818381564241</v>
      </c>
      <c r="I941">
        <v>298.01412346832251</v>
      </c>
      <c r="J941">
        <v>308.97928730457221</v>
      </c>
      <c r="K941">
        <v>325.33053704192889</v>
      </c>
      <c r="L941">
        <v>355.21816802519737</v>
      </c>
    </row>
    <row r="942" spans="1:12" x14ac:dyDescent="0.25">
      <c r="A942">
        <v>254.42827040750618</v>
      </c>
      <c r="B942">
        <v>264.75298051357964</v>
      </c>
      <c r="C942">
        <v>261.81011311263052</v>
      </c>
      <c r="D942">
        <v>249.69568808850354</v>
      </c>
      <c r="E942">
        <v>313.64848885840337</v>
      </c>
      <c r="F942">
        <v>252.64774469740397</v>
      </c>
      <c r="G942">
        <v>264.12398598944515</v>
      </c>
      <c r="H942">
        <v>280.46184130167012</v>
      </c>
      <c r="I942">
        <v>308.31475746173612</v>
      </c>
      <c r="J942">
        <v>323.45430595195791</v>
      </c>
      <c r="K942">
        <v>357.30285478238466</v>
      </c>
      <c r="L942">
        <v>408.0122317338064</v>
      </c>
    </row>
    <row r="943" spans="1:12" x14ac:dyDescent="0.25">
      <c r="A943">
        <v>229.97098508240231</v>
      </c>
      <c r="B943">
        <v>260.62547267707475</v>
      </c>
      <c r="C943">
        <v>227.92623332053444</v>
      </c>
      <c r="D943">
        <v>229.08318668679249</v>
      </c>
      <c r="E943">
        <v>271.27343909451059</v>
      </c>
      <c r="F943">
        <v>231.561395866769</v>
      </c>
      <c r="G943">
        <v>254.05293041965973</v>
      </c>
      <c r="H943">
        <v>255.00510941090621</v>
      </c>
      <c r="I943">
        <v>284.68222217318589</v>
      </c>
      <c r="J943">
        <v>281.1321974750802</v>
      </c>
      <c r="K943">
        <v>324.25795453162419</v>
      </c>
      <c r="L943">
        <v>340.66862044263809</v>
      </c>
    </row>
    <row r="944" spans="1:12" x14ac:dyDescent="0.25">
      <c r="A944">
        <v>250.92328872613726</v>
      </c>
      <c r="B944">
        <v>280.2104622810877</v>
      </c>
      <c r="C944">
        <v>241.4634491934882</v>
      </c>
      <c r="D944">
        <v>258.54943891731125</v>
      </c>
      <c r="E944">
        <v>287.23681761856966</v>
      </c>
      <c r="F944">
        <v>265.16229093455314</v>
      </c>
      <c r="G944">
        <v>297.0005313027803</v>
      </c>
      <c r="H944">
        <v>277.15368796792092</v>
      </c>
      <c r="I944">
        <v>307.29733149289734</v>
      </c>
      <c r="J944">
        <v>331.17017244950915</v>
      </c>
      <c r="K944">
        <v>355.12335458081566</v>
      </c>
      <c r="L944">
        <v>424.89077602473884</v>
      </c>
    </row>
    <row r="945" spans="1:12" x14ac:dyDescent="0.25">
      <c r="A945">
        <v>250.92409449897335</v>
      </c>
      <c r="B945">
        <v>273.75649626599176</v>
      </c>
      <c r="C945">
        <v>255.94322727975546</v>
      </c>
      <c r="D945">
        <v>252.8402610861823</v>
      </c>
      <c r="E945">
        <v>290.29786577958362</v>
      </c>
      <c r="F945">
        <v>271.02189785208577</v>
      </c>
      <c r="G945">
        <v>284.54252088102174</v>
      </c>
      <c r="H945">
        <v>279.61601776067664</v>
      </c>
      <c r="I945">
        <v>299.9502813060833</v>
      </c>
      <c r="J945">
        <v>333.17972576913951</v>
      </c>
      <c r="K945">
        <v>335.00474420888162</v>
      </c>
      <c r="L945">
        <v>409.64770095262497</v>
      </c>
    </row>
    <row r="946" spans="1:12" x14ac:dyDescent="0.25">
      <c r="A946">
        <v>247.02758895288349</v>
      </c>
      <c r="B946">
        <v>280.95320883776168</v>
      </c>
      <c r="C946">
        <v>244.7357035436527</v>
      </c>
      <c r="D946">
        <v>272.31028848454963</v>
      </c>
      <c r="E946">
        <v>314.08230233887093</v>
      </c>
      <c r="F946">
        <v>278.70544380625319</v>
      </c>
      <c r="G946">
        <v>299.75414590592771</v>
      </c>
      <c r="H946">
        <v>308.70350333614277</v>
      </c>
      <c r="I946">
        <v>346.34074344409072</v>
      </c>
      <c r="J946">
        <v>348.20686073133055</v>
      </c>
      <c r="K946">
        <v>394.51582928818283</v>
      </c>
      <c r="L946">
        <v>454.20948714485291</v>
      </c>
    </row>
    <row r="947" spans="1:12" x14ac:dyDescent="0.25">
      <c r="A947">
        <v>256.84397767235464</v>
      </c>
      <c r="B947">
        <v>265.16456785963248</v>
      </c>
      <c r="C947">
        <v>246.0397201851234</v>
      </c>
      <c r="D947">
        <v>259.42931717508191</v>
      </c>
      <c r="E947">
        <v>286.06806827785425</v>
      </c>
      <c r="F947">
        <v>252.73999011157744</v>
      </c>
      <c r="G947">
        <v>276.7076452194305</v>
      </c>
      <c r="H947">
        <v>272.18927864338025</v>
      </c>
      <c r="I947">
        <v>307.03650671445632</v>
      </c>
      <c r="J947">
        <v>305.05748007111038</v>
      </c>
      <c r="K947">
        <v>318.01286570467931</v>
      </c>
      <c r="L947">
        <v>397.72415098539557</v>
      </c>
    </row>
    <row r="948" spans="1:12" x14ac:dyDescent="0.25">
      <c r="A948">
        <v>258.60693852743276</v>
      </c>
      <c r="B948">
        <v>275.22035420332747</v>
      </c>
      <c r="C948">
        <v>243.62145711322876</v>
      </c>
      <c r="D948">
        <v>215.0264671480453</v>
      </c>
      <c r="E948">
        <v>255.53025587398045</v>
      </c>
      <c r="F948">
        <v>231.41300438275195</v>
      </c>
      <c r="G948">
        <v>255.58763264642073</v>
      </c>
      <c r="H948">
        <v>250.05222827104248</v>
      </c>
      <c r="I948">
        <v>286.49602397388065</v>
      </c>
      <c r="J948">
        <v>292.30433829779827</v>
      </c>
      <c r="K948">
        <v>308.84835556639206</v>
      </c>
      <c r="L948">
        <v>382.55077722863422</v>
      </c>
    </row>
    <row r="949" spans="1:12" x14ac:dyDescent="0.25">
      <c r="A949">
        <v>237.20318408264365</v>
      </c>
      <c r="B949">
        <v>258.39051794868061</v>
      </c>
      <c r="C949">
        <v>235.84569453574997</v>
      </c>
      <c r="D949">
        <v>216.80009512338157</v>
      </c>
      <c r="E949">
        <v>269.47692613029852</v>
      </c>
      <c r="F949">
        <v>251.17649298347965</v>
      </c>
      <c r="G949">
        <v>251.37976700531564</v>
      </c>
      <c r="H949">
        <v>254.29722833576596</v>
      </c>
      <c r="I949">
        <v>276.80833217479039</v>
      </c>
      <c r="J949">
        <v>283.87891245796857</v>
      </c>
      <c r="K949">
        <v>295.89221713932847</v>
      </c>
      <c r="L949">
        <v>346.46526076607671</v>
      </c>
    </row>
    <row r="950" spans="1:12" x14ac:dyDescent="0.25">
      <c r="A950">
        <v>242.75378473015093</v>
      </c>
      <c r="B950">
        <v>257.08764527230113</v>
      </c>
      <c r="C950">
        <v>230.58408513288265</v>
      </c>
      <c r="D950">
        <v>240.3403375449343</v>
      </c>
      <c r="E950">
        <v>273.5981154822577</v>
      </c>
      <c r="F950">
        <v>250.38968640209873</v>
      </c>
      <c r="G950">
        <v>246.97594414632559</v>
      </c>
      <c r="H950">
        <v>268.98192046881547</v>
      </c>
      <c r="I950">
        <v>287.21593232947993</v>
      </c>
      <c r="J950">
        <v>304.46183028480283</v>
      </c>
      <c r="K950">
        <v>305.89246808049558</v>
      </c>
      <c r="L950">
        <v>359.98199406910567</v>
      </c>
    </row>
    <row r="951" spans="1:12" x14ac:dyDescent="0.25">
      <c r="A951">
        <v>219.9783194911515</v>
      </c>
      <c r="B951">
        <v>260.47798363971833</v>
      </c>
      <c r="C951">
        <v>218.90170231352985</v>
      </c>
      <c r="D951">
        <v>226.92410436181075</v>
      </c>
      <c r="E951">
        <v>267.86145848560989</v>
      </c>
      <c r="F951">
        <v>234.65847671142862</v>
      </c>
      <c r="G951">
        <v>252.44254295730678</v>
      </c>
      <c r="H951">
        <v>249.67809233240868</v>
      </c>
      <c r="I951">
        <v>246.96024038919873</v>
      </c>
      <c r="J951">
        <v>254.4779891412667</v>
      </c>
      <c r="K951">
        <v>287.87612759072857</v>
      </c>
      <c r="L951">
        <v>337.11097869890938</v>
      </c>
    </row>
    <row r="952" spans="1:12" x14ac:dyDescent="0.25">
      <c r="A952">
        <v>257.35692623060896</v>
      </c>
      <c r="B952">
        <v>266.89412694514414</v>
      </c>
      <c r="C952">
        <v>250.12978475589361</v>
      </c>
      <c r="D952">
        <v>261.11807861555337</v>
      </c>
      <c r="E952">
        <v>306.20911040638094</v>
      </c>
      <c r="F952">
        <v>249.43937615582857</v>
      </c>
      <c r="G952">
        <v>260.86712225045744</v>
      </c>
      <c r="H952">
        <v>272.00181252231988</v>
      </c>
      <c r="I952">
        <v>286.99100450988499</v>
      </c>
      <c r="J952">
        <v>311.23260934850225</v>
      </c>
      <c r="K952">
        <v>325.09107457359664</v>
      </c>
      <c r="L952">
        <v>366.330040779424</v>
      </c>
    </row>
    <row r="953" spans="1:12" x14ac:dyDescent="0.25">
      <c r="A953">
        <v>225.06251354403861</v>
      </c>
      <c r="B953">
        <v>269.83935924330831</v>
      </c>
      <c r="C953">
        <v>239.79359119086837</v>
      </c>
      <c r="D953">
        <v>254.18203431990815</v>
      </c>
      <c r="E953">
        <v>280.69590605074836</v>
      </c>
      <c r="F953">
        <v>257.46688627162166</v>
      </c>
      <c r="G953">
        <v>291.75116181731187</v>
      </c>
      <c r="H953">
        <v>294.34368781293693</v>
      </c>
      <c r="I953">
        <v>331.12203588778124</v>
      </c>
      <c r="J953">
        <v>350.60145051932648</v>
      </c>
      <c r="K953">
        <v>383.85903719721949</v>
      </c>
      <c r="L953">
        <v>442.52751133050532</v>
      </c>
    </row>
    <row r="954" spans="1:12" x14ac:dyDescent="0.25">
      <c r="A954">
        <v>246.55752910107782</v>
      </c>
      <c r="B954">
        <v>252.7659006798086</v>
      </c>
      <c r="C954">
        <v>260.77938290395031</v>
      </c>
      <c r="D954">
        <v>239.79864566850537</v>
      </c>
      <c r="E954">
        <v>287.26349664826461</v>
      </c>
      <c r="F954">
        <v>263.86237350657882</v>
      </c>
      <c r="G954">
        <v>269.96623409585101</v>
      </c>
      <c r="H954">
        <v>274.92147377039959</v>
      </c>
      <c r="I954">
        <v>296.74530479359839</v>
      </c>
      <c r="J954">
        <v>312.23545986241834</v>
      </c>
      <c r="K954">
        <v>316.94506755322431</v>
      </c>
      <c r="L954">
        <v>375.21783669201886</v>
      </c>
    </row>
    <row r="955" spans="1:12" x14ac:dyDescent="0.25">
      <c r="A955">
        <v>249.61196377745256</v>
      </c>
      <c r="B955">
        <v>259.81993708370521</v>
      </c>
      <c r="C955">
        <v>249.78605625661731</v>
      </c>
      <c r="D955">
        <v>230.73917091167033</v>
      </c>
      <c r="E955">
        <v>291.08934710106638</v>
      </c>
      <c r="F955">
        <v>241.09195755430252</v>
      </c>
      <c r="G955">
        <v>253.2030719200045</v>
      </c>
      <c r="H955">
        <v>271.87246017267881</v>
      </c>
      <c r="I955">
        <v>308.1749736998471</v>
      </c>
      <c r="J955">
        <v>324.50532170527487</v>
      </c>
      <c r="K955">
        <v>343.1826552144916</v>
      </c>
      <c r="L955">
        <v>408.76473488932544</v>
      </c>
    </row>
    <row r="956" spans="1:12" x14ac:dyDescent="0.25">
      <c r="A956">
        <v>256.48556406207456</v>
      </c>
      <c r="B956">
        <v>252.56386848856414</v>
      </c>
      <c r="C956">
        <v>254.81477489596983</v>
      </c>
      <c r="D956">
        <v>244.22916293517818</v>
      </c>
      <c r="E956">
        <v>284.74274372328188</v>
      </c>
      <c r="F956">
        <v>254.97681805721302</v>
      </c>
      <c r="G956">
        <v>278.00850581994956</v>
      </c>
      <c r="H956">
        <v>269.84195730911847</v>
      </c>
      <c r="I956">
        <v>285.7615235585327</v>
      </c>
      <c r="J956">
        <v>294.00357778052552</v>
      </c>
      <c r="K956">
        <v>322.6982195154506</v>
      </c>
      <c r="L956">
        <v>368.71898296275072</v>
      </c>
    </row>
    <row r="957" spans="1:12" x14ac:dyDescent="0.25">
      <c r="A957">
        <v>259.65373205262154</v>
      </c>
      <c r="B957">
        <v>274.97936487065289</v>
      </c>
      <c r="C957">
        <v>242.94450850796068</v>
      </c>
      <c r="D957">
        <v>247.54310754688424</v>
      </c>
      <c r="E957">
        <v>285.56703937725746</v>
      </c>
      <c r="F957">
        <v>254.92930658358173</v>
      </c>
      <c r="G957">
        <v>266.19674864722856</v>
      </c>
      <c r="H957">
        <v>256.677753133647</v>
      </c>
      <c r="I957">
        <v>309.09722832399274</v>
      </c>
      <c r="J957">
        <v>309.80685409844756</v>
      </c>
      <c r="K957">
        <v>330.38257104211277</v>
      </c>
      <c r="L957">
        <v>399.10188018299954</v>
      </c>
    </row>
    <row r="958" spans="1:12" x14ac:dyDescent="0.25">
      <c r="A958">
        <v>239.74528442675927</v>
      </c>
      <c r="B958">
        <v>255.4813084375177</v>
      </c>
      <c r="C958">
        <v>247.0418414969524</v>
      </c>
      <c r="D958">
        <v>245.85326083084092</v>
      </c>
      <c r="E958">
        <v>280.98097364625249</v>
      </c>
      <c r="F958">
        <v>264.55656797710429</v>
      </c>
      <c r="G958">
        <v>266.3077570398799</v>
      </c>
      <c r="H958">
        <v>263.64235389784881</v>
      </c>
      <c r="I958">
        <v>279.62271465924613</v>
      </c>
      <c r="J958">
        <v>294.45442102229646</v>
      </c>
      <c r="K958">
        <v>331.55068279823166</v>
      </c>
      <c r="L958">
        <v>376.86868693430915</v>
      </c>
    </row>
    <row r="959" spans="1:12" x14ac:dyDescent="0.25">
      <c r="A959">
        <v>255.76426132559737</v>
      </c>
      <c r="B959">
        <v>293.62115529303435</v>
      </c>
      <c r="C959">
        <v>261.50516630884886</v>
      </c>
      <c r="D959">
        <v>243.16403128926754</v>
      </c>
      <c r="E959">
        <v>294.09873040002935</v>
      </c>
      <c r="F959">
        <v>259.01166104734767</v>
      </c>
      <c r="G959">
        <v>277.13828932158827</v>
      </c>
      <c r="H959">
        <v>260.21385319806052</v>
      </c>
      <c r="I959">
        <v>297.0433569779326</v>
      </c>
      <c r="J959">
        <v>311.4240742441703</v>
      </c>
      <c r="K959">
        <v>338.4724720475337</v>
      </c>
      <c r="L959">
        <v>377.88391431894979</v>
      </c>
    </row>
    <row r="960" spans="1:12" x14ac:dyDescent="0.25">
      <c r="A960">
        <v>251.47461864134027</v>
      </c>
      <c r="B960">
        <v>286.63791835691131</v>
      </c>
      <c r="C960">
        <v>266.90279559325222</v>
      </c>
      <c r="D960">
        <v>277.20718212910293</v>
      </c>
      <c r="E960">
        <v>323.19934811329574</v>
      </c>
      <c r="F960">
        <v>276.24173457126085</v>
      </c>
      <c r="G960">
        <v>303.26253600121845</v>
      </c>
      <c r="H960">
        <v>305.11684287854041</v>
      </c>
      <c r="I960">
        <v>340.5629684172871</v>
      </c>
      <c r="J960">
        <v>367.10042787498207</v>
      </c>
      <c r="K960">
        <v>370.7337034053553</v>
      </c>
      <c r="L960">
        <v>444.60213203963878</v>
      </c>
    </row>
    <row r="961" spans="1:12" x14ac:dyDescent="0.25">
      <c r="A961">
        <v>242.89485717760036</v>
      </c>
      <c r="B961">
        <v>275.44002783926061</v>
      </c>
      <c r="C961">
        <v>230.53423277448806</v>
      </c>
      <c r="D961">
        <v>250.65486661165528</v>
      </c>
      <c r="E961">
        <v>285.96361960121135</v>
      </c>
      <c r="F961">
        <v>255.21289581593223</v>
      </c>
      <c r="G961">
        <v>257.73552380189841</v>
      </c>
      <c r="H961">
        <v>278.67567695678622</v>
      </c>
      <c r="I961">
        <v>303.94832286277693</v>
      </c>
      <c r="J961">
        <v>334.18372419341227</v>
      </c>
      <c r="K961">
        <v>352.52721244519336</v>
      </c>
      <c r="L961">
        <v>410.96516362115409</v>
      </c>
    </row>
    <row r="962" spans="1:12" x14ac:dyDescent="0.25">
      <c r="A962">
        <v>247.60373286690339</v>
      </c>
      <c r="B962">
        <v>266.53296945334353</v>
      </c>
      <c r="C962">
        <v>252.49371347349521</v>
      </c>
      <c r="D962">
        <v>249.39284782475661</v>
      </c>
      <c r="E962">
        <v>290.78249463666918</v>
      </c>
      <c r="F962">
        <v>276.08502496882465</v>
      </c>
      <c r="G962">
        <v>274.73160841548884</v>
      </c>
      <c r="H962">
        <v>282.29045047553927</v>
      </c>
      <c r="I962">
        <v>310.60768446037861</v>
      </c>
      <c r="J962">
        <v>327.48820109881001</v>
      </c>
      <c r="K962">
        <v>356.88480985194923</v>
      </c>
      <c r="L962">
        <v>395.66641991053854</v>
      </c>
    </row>
    <row r="963" spans="1:12" x14ac:dyDescent="0.25">
      <c r="A963">
        <v>245.36595708745716</v>
      </c>
      <c r="B963">
        <v>263.51485264807462</v>
      </c>
      <c r="C963">
        <v>224.5505683056586</v>
      </c>
      <c r="D963">
        <v>219.18559627911293</v>
      </c>
      <c r="E963">
        <v>265.54218562834848</v>
      </c>
      <c r="F963">
        <v>222.96259838772423</v>
      </c>
      <c r="G963">
        <v>242.36016669113025</v>
      </c>
      <c r="H963">
        <v>232.76293584195867</v>
      </c>
      <c r="I963">
        <v>242.00996764329963</v>
      </c>
      <c r="J963">
        <v>243.99415012431379</v>
      </c>
      <c r="K963">
        <v>272.52856471385599</v>
      </c>
      <c r="L963">
        <v>307.91958989392975</v>
      </c>
    </row>
    <row r="964" spans="1:12" x14ac:dyDescent="0.25">
      <c r="A964">
        <v>246.50137187475841</v>
      </c>
      <c r="B964">
        <v>262.57926782973021</v>
      </c>
      <c r="C964">
        <v>241.22438650126705</v>
      </c>
      <c r="D964">
        <v>246.83586161911529</v>
      </c>
      <c r="E964">
        <v>304.97196344130839</v>
      </c>
      <c r="F964">
        <v>254.14288819435572</v>
      </c>
      <c r="G964">
        <v>270.02378086429258</v>
      </c>
      <c r="H964">
        <v>288.2655886954804</v>
      </c>
      <c r="I964">
        <v>286.73003082727945</v>
      </c>
      <c r="J964">
        <v>312.93405619691788</v>
      </c>
      <c r="K964">
        <v>327.92789401900865</v>
      </c>
      <c r="L964">
        <v>394.23202645976272</v>
      </c>
    </row>
    <row r="965" spans="1:12" x14ac:dyDescent="0.25">
      <c r="A965">
        <v>255.8109145242766</v>
      </c>
      <c r="B965">
        <v>271.98497938320423</v>
      </c>
      <c r="C965">
        <v>256.45665080720272</v>
      </c>
      <c r="D965">
        <v>270.60476512299431</v>
      </c>
      <c r="E965">
        <v>312.01431289061048</v>
      </c>
      <c r="F965">
        <v>284.64325424190542</v>
      </c>
      <c r="G965">
        <v>291.73902968195443</v>
      </c>
      <c r="H965">
        <v>307.20343331232743</v>
      </c>
      <c r="I965">
        <v>313.99050153566833</v>
      </c>
      <c r="J965">
        <v>345.70880444255687</v>
      </c>
      <c r="K965">
        <v>360.41918500505045</v>
      </c>
      <c r="L965">
        <v>424.31650779831364</v>
      </c>
    </row>
    <row r="966" spans="1:12" x14ac:dyDescent="0.25">
      <c r="A966">
        <v>241.23200181468525</v>
      </c>
      <c r="B966">
        <v>256.40585737250859</v>
      </c>
      <c r="C966">
        <v>239.17079231990166</v>
      </c>
      <c r="D966">
        <v>247.20014294259462</v>
      </c>
      <c r="E966">
        <v>288.24939308328607</v>
      </c>
      <c r="F966">
        <v>257.76984793196164</v>
      </c>
      <c r="G966">
        <v>263.0284243234122</v>
      </c>
      <c r="H966">
        <v>275.77020924482207</v>
      </c>
      <c r="I966">
        <v>301.65985242367844</v>
      </c>
      <c r="J966">
        <v>302.35318378274258</v>
      </c>
      <c r="K966">
        <v>340.48997471468692</v>
      </c>
      <c r="L966">
        <v>376.04216529942789</v>
      </c>
    </row>
    <row r="967" spans="1:12" x14ac:dyDescent="0.25">
      <c r="A967">
        <v>250.00192562754313</v>
      </c>
      <c r="B967">
        <v>261.34757669140311</v>
      </c>
      <c r="C967">
        <v>237.56325272093545</v>
      </c>
      <c r="D967">
        <v>232.4916550209787</v>
      </c>
      <c r="E967">
        <v>277.6843863036982</v>
      </c>
      <c r="F967">
        <v>232.91212845437173</v>
      </c>
      <c r="G967">
        <v>241.75369798125254</v>
      </c>
      <c r="H967">
        <v>246.52207234644717</v>
      </c>
      <c r="I967">
        <v>280.02713039019085</v>
      </c>
      <c r="J967">
        <v>296.78497661898581</v>
      </c>
      <c r="K967">
        <v>303.70761386488141</v>
      </c>
      <c r="L967">
        <v>344.08314938538808</v>
      </c>
    </row>
    <row r="968" spans="1:12" x14ac:dyDescent="0.25">
      <c r="A968">
        <v>239.52118836033958</v>
      </c>
      <c r="B968">
        <v>255.81563450232665</v>
      </c>
      <c r="C968">
        <v>236.11267111935294</v>
      </c>
      <c r="D968">
        <v>233.8846261045428</v>
      </c>
      <c r="E968">
        <v>259.60728946969277</v>
      </c>
      <c r="F968">
        <v>228.27806657602784</v>
      </c>
      <c r="G968">
        <v>210.44810695242256</v>
      </c>
      <c r="H968">
        <v>236.24843455239377</v>
      </c>
      <c r="I968">
        <v>274.20343057929807</v>
      </c>
      <c r="J968">
        <v>247.74375856405837</v>
      </c>
      <c r="K968">
        <v>276.80782794378831</v>
      </c>
      <c r="L968">
        <v>305.77318121305257</v>
      </c>
    </row>
    <row r="969" spans="1:12" x14ac:dyDescent="0.25">
      <c r="A969">
        <v>231.00002110562505</v>
      </c>
      <c r="B969">
        <v>263.88530867988447</v>
      </c>
      <c r="C969">
        <v>244.30212081138652</v>
      </c>
      <c r="D969">
        <v>219.52434145075176</v>
      </c>
      <c r="E969">
        <v>273.69397955057815</v>
      </c>
      <c r="F969">
        <v>245.26619291876619</v>
      </c>
      <c r="G969">
        <v>260.34023794012381</v>
      </c>
      <c r="H969">
        <v>265.72292293942724</v>
      </c>
      <c r="I969">
        <v>293.56093511820217</v>
      </c>
      <c r="J969">
        <v>306.92366119497825</v>
      </c>
      <c r="K969">
        <v>346.65022966456769</v>
      </c>
      <c r="L969">
        <v>401.05737431095878</v>
      </c>
    </row>
    <row r="970" spans="1:12" x14ac:dyDescent="0.25">
      <c r="A970">
        <v>228.70025447549583</v>
      </c>
      <c r="B970">
        <v>266.75193236171776</v>
      </c>
      <c r="C970">
        <v>241.09780265045708</v>
      </c>
      <c r="D970">
        <v>246.01027385243526</v>
      </c>
      <c r="E970">
        <v>271.17628187916768</v>
      </c>
      <c r="F970">
        <v>244.95724763539346</v>
      </c>
      <c r="G970">
        <v>262.6254156340982</v>
      </c>
      <c r="H970">
        <v>261.6806580284707</v>
      </c>
      <c r="I970">
        <v>286.02163484221501</v>
      </c>
      <c r="J970">
        <v>300.26020016627899</v>
      </c>
      <c r="K970">
        <v>299.42297820887632</v>
      </c>
      <c r="L970">
        <v>360.07103556657546</v>
      </c>
    </row>
    <row r="971" spans="1:12" x14ac:dyDescent="0.25">
      <c r="A971">
        <v>248.11863821814885</v>
      </c>
      <c r="B971">
        <v>252.45530195245746</v>
      </c>
      <c r="C971">
        <v>232.01247814682583</v>
      </c>
      <c r="D971">
        <v>232.52131534017127</v>
      </c>
      <c r="E971">
        <v>269.76637796182536</v>
      </c>
      <c r="F971">
        <v>239.28736329651255</v>
      </c>
      <c r="G971">
        <v>253.53295117455497</v>
      </c>
      <c r="H971">
        <v>236.1254076146366</v>
      </c>
      <c r="I971">
        <v>257.05231349448263</v>
      </c>
      <c r="J971">
        <v>281.35269314450824</v>
      </c>
      <c r="K971">
        <v>285.51777900220122</v>
      </c>
      <c r="L971">
        <v>328.18644553902902</v>
      </c>
    </row>
    <row r="972" spans="1:12" x14ac:dyDescent="0.25">
      <c r="A972">
        <v>238.15686397177626</v>
      </c>
      <c r="B972">
        <v>262.0228541976312</v>
      </c>
      <c r="C972">
        <v>226.34647898125374</v>
      </c>
      <c r="D972">
        <v>230.85697942057226</v>
      </c>
      <c r="E972">
        <v>245.4578277974592</v>
      </c>
      <c r="F972">
        <v>230.17040393556013</v>
      </c>
      <c r="G972">
        <v>213.5293282437911</v>
      </c>
      <c r="H972">
        <v>250.51569401185827</v>
      </c>
      <c r="I972">
        <v>264.11407311695632</v>
      </c>
      <c r="J972">
        <v>257.75623589784203</v>
      </c>
      <c r="K972">
        <v>265.9600048670095</v>
      </c>
      <c r="L972">
        <v>327.15285535852024</v>
      </c>
    </row>
    <row r="973" spans="1:12" x14ac:dyDescent="0.25">
      <c r="A973">
        <v>250.26898877595701</v>
      </c>
      <c r="B973">
        <v>263.66684087858386</v>
      </c>
      <c r="C973">
        <v>250.77822017318044</v>
      </c>
      <c r="D973">
        <v>238.95541571631952</v>
      </c>
      <c r="E973">
        <v>297.77980135054531</v>
      </c>
      <c r="F973">
        <v>260.81223396037774</v>
      </c>
      <c r="G973">
        <v>270.69897330899494</v>
      </c>
      <c r="H973">
        <v>271.92532210696078</v>
      </c>
      <c r="I973">
        <v>295.26651447828158</v>
      </c>
      <c r="J973">
        <v>319.79037255396395</v>
      </c>
      <c r="K973">
        <v>331.10230789359451</v>
      </c>
      <c r="L973">
        <v>391.47844761418656</v>
      </c>
    </row>
    <row r="974" spans="1:12" x14ac:dyDescent="0.25">
      <c r="A974">
        <v>253.50565616537835</v>
      </c>
      <c r="B974">
        <v>266.12688453970998</v>
      </c>
      <c r="C974">
        <v>248.44464020589453</v>
      </c>
      <c r="D974">
        <v>252.26228382536672</v>
      </c>
      <c r="E974">
        <v>280.22524011484995</v>
      </c>
      <c r="F974">
        <v>249.10589234505042</v>
      </c>
      <c r="G974">
        <v>251.95100322057203</v>
      </c>
      <c r="H974">
        <v>244.31999638573882</v>
      </c>
      <c r="I974">
        <v>282.18780152168392</v>
      </c>
      <c r="J974">
        <v>287.76169854693779</v>
      </c>
      <c r="K974">
        <v>309.788921551724</v>
      </c>
      <c r="L974">
        <v>359.7737252071168</v>
      </c>
    </row>
    <row r="975" spans="1:12" x14ac:dyDescent="0.25">
      <c r="A975">
        <v>237.3173040709128</v>
      </c>
      <c r="B975">
        <v>252.36453045580498</v>
      </c>
      <c r="C975">
        <v>249.41452050662954</v>
      </c>
      <c r="D975">
        <v>244.74981182207665</v>
      </c>
      <c r="E975">
        <v>272.79229317811269</v>
      </c>
      <c r="F975">
        <v>260.84684360958585</v>
      </c>
      <c r="G975">
        <v>275.76948523993423</v>
      </c>
      <c r="H975">
        <v>266.32828704304302</v>
      </c>
      <c r="I975">
        <v>295.27695329211184</v>
      </c>
      <c r="J975">
        <v>285.32738576125615</v>
      </c>
      <c r="K975">
        <v>301.25228036318174</v>
      </c>
      <c r="L975">
        <v>349.46918922153321</v>
      </c>
    </row>
    <row r="976" spans="1:12" x14ac:dyDescent="0.25">
      <c r="A976">
        <v>249.91506522666273</v>
      </c>
      <c r="B976">
        <v>260.72482984857299</v>
      </c>
      <c r="C976">
        <v>246.12987774677623</v>
      </c>
      <c r="D976">
        <v>233.97547753386706</v>
      </c>
      <c r="E976">
        <v>279.43277899842627</v>
      </c>
      <c r="F976">
        <v>241.66137578727765</v>
      </c>
      <c r="G976">
        <v>274.79658307141887</v>
      </c>
      <c r="H976">
        <v>259.03975851987394</v>
      </c>
      <c r="I976">
        <v>274.51076511523638</v>
      </c>
      <c r="J976">
        <v>300.79765146781932</v>
      </c>
      <c r="K976">
        <v>330.64757335210942</v>
      </c>
      <c r="L976">
        <v>358.99932697720311</v>
      </c>
    </row>
    <row r="977" spans="1:12" x14ac:dyDescent="0.25">
      <c r="A977">
        <v>239.32815438905777</v>
      </c>
      <c r="B977">
        <v>268.85215292262222</v>
      </c>
      <c r="C977">
        <v>237.26270692759817</v>
      </c>
      <c r="D977">
        <v>242.64124348451492</v>
      </c>
      <c r="E977">
        <v>291.68953194330385</v>
      </c>
      <c r="F977">
        <v>245.47668058025502</v>
      </c>
      <c r="G977">
        <v>261.28894219335405</v>
      </c>
      <c r="H977">
        <v>259.06351163633116</v>
      </c>
      <c r="I977">
        <v>303.63175335047299</v>
      </c>
      <c r="J977">
        <v>295.41643079419521</v>
      </c>
      <c r="K977">
        <v>325.63840151551727</v>
      </c>
      <c r="L977">
        <v>391.91759026751896</v>
      </c>
    </row>
    <row r="978" spans="1:12" x14ac:dyDescent="0.25">
      <c r="A978">
        <v>228.54367860161261</v>
      </c>
      <c r="B978">
        <v>255.73359438672233</v>
      </c>
      <c r="C978">
        <v>211.62093599276693</v>
      </c>
      <c r="D978">
        <v>215.38939780467737</v>
      </c>
      <c r="E978">
        <v>258.32913321566065</v>
      </c>
      <c r="F978">
        <v>206.01633132743046</v>
      </c>
      <c r="G978">
        <v>218.18755131695352</v>
      </c>
      <c r="H978">
        <v>223.13103936938421</v>
      </c>
      <c r="I978">
        <v>213.91834582070155</v>
      </c>
      <c r="J978">
        <v>237.44334418440769</v>
      </c>
      <c r="K978">
        <v>230.87782748027612</v>
      </c>
      <c r="L978">
        <v>264.01004075737848</v>
      </c>
    </row>
    <row r="979" spans="1:12" x14ac:dyDescent="0.25">
      <c r="A979">
        <v>250.70872830564988</v>
      </c>
      <c r="B979">
        <v>242.54537010157074</v>
      </c>
      <c r="C979">
        <v>237.39704346876266</v>
      </c>
      <c r="D979">
        <v>233.65607074839954</v>
      </c>
      <c r="E979">
        <v>273.96143145615503</v>
      </c>
      <c r="F979">
        <v>228.708849400649</v>
      </c>
      <c r="G979">
        <v>261.78972967195142</v>
      </c>
      <c r="H979">
        <v>262.48008027164235</v>
      </c>
      <c r="I979">
        <v>280.70060220867111</v>
      </c>
      <c r="J979">
        <v>288.93123658674301</v>
      </c>
      <c r="K979">
        <v>325.13817910223565</v>
      </c>
      <c r="L979">
        <v>379.61305534909059</v>
      </c>
    </row>
    <row r="980" spans="1:12" x14ac:dyDescent="0.25">
      <c r="A980">
        <v>217.4938981580562</v>
      </c>
      <c r="B980">
        <v>255.42880825808692</v>
      </c>
      <c r="C980">
        <v>231.31432124420539</v>
      </c>
      <c r="D980">
        <v>226.24047421570518</v>
      </c>
      <c r="E980">
        <v>266.14456646711909</v>
      </c>
      <c r="F980">
        <v>228.49014074117079</v>
      </c>
      <c r="G980">
        <v>233.85179959361659</v>
      </c>
      <c r="H980">
        <v>239.51275258191555</v>
      </c>
      <c r="I980">
        <v>252.55194210530925</v>
      </c>
      <c r="J980">
        <v>271.70695117797965</v>
      </c>
      <c r="K980">
        <v>282.78257556825145</v>
      </c>
      <c r="L980">
        <v>321.32322351538335</v>
      </c>
    </row>
    <row r="981" spans="1:12" x14ac:dyDescent="0.25">
      <c r="A981">
        <v>239.71696262577404</v>
      </c>
      <c r="B981">
        <v>275.44090276628231</v>
      </c>
      <c r="C981">
        <v>231.63214993918979</v>
      </c>
      <c r="D981">
        <v>238.43896474175719</v>
      </c>
      <c r="E981">
        <v>286.55296988185103</v>
      </c>
      <c r="F981">
        <v>260.81444896170171</v>
      </c>
      <c r="G981">
        <v>260.98255968967237</v>
      </c>
      <c r="H981">
        <v>281.39179545857473</v>
      </c>
      <c r="I981">
        <v>311.87261557673691</v>
      </c>
      <c r="J981">
        <v>315.05842036711465</v>
      </c>
      <c r="K981">
        <v>331.64452628851416</v>
      </c>
      <c r="L981">
        <v>404.4782829704742</v>
      </c>
    </row>
    <row r="982" spans="1:12" x14ac:dyDescent="0.25">
      <c r="A982">
        <v>260.97898317488284</v>
      </c>
      <c r="B982">
        <v>271.42722174050232</v>
      </c>
      <c r="C982">
        <v>240.9397323516211</v>
      </c>
      <c r="D982">
        <v>251.54905180941125</v>
      </c>
      <c r="E982">
        <v>296.02004043595707</v>
      </c>
      <c r="F982">
        <v>272.28963168851749</v>
      </c>
      <c r="G982">
        <v>259.38822007038874</v>
      </c>
      <c r="H982">
        <v>268.97181159435831</v>
      </c>
      <c r="I982">
        <v>294.74113931481259</v>
      </c>
      <c r="J982">
        <v>295.64254492007575</v>
      </c>
      <c r="K982">
        <v>322.10600973496821</v>
      </c>
      <c r="L982">
        <v>364.80516755925703</v>
      </c>
    </row>
    <row r="983" spans="1:12" x14ac:dyDescent="0.25">
      <c r="A983">
        <v>230.1149292234208</v>
      </c>
      <c r="B983">
        <v>253.30949621646633</v>
      </c>
      <c r="C983">
        <v>223.63080359919297</v>
      </c>
      <c r="D983">
        <v>227.87994828063123</v>
      </c>
      <c r="E983">
        <v>258.61846896046359</v>
      </c>
      <c r="F983">
        <v>245.39823417208197</v>
      </c>
      <c r="G983">
        <v>251.93574644688169</v>
      </c>
      <c r="H983">
        <v>261.68305682789713</v>
      </c>
      <c r="I983">
        <v>269.33944982984923</v>
      </c>
      <c r="J983">
        <v>278.49465058334454</v>
      </c>
      <c r="K983">
        <v>309.06030811260001</v>
      </c>
      <c r="L983">
        <v>360.31885380073504</v>
      </c>
    </row>
    <row r="984" spans="1:12" x14ac:dyDescent="0.25">
      <c r="A984">
        <v>264.16409175261879</v>
      </c>
      <c r="B984">
        <v>257.18635863905024</v>
      </c>
      <c r="C984">
        <v>243.57698321973297</v>
      </c>
      <c r="D984">
        <v>249.66989125119829</v>
      </c>
      <c r="E984">
        <v>292.91911404989253</v>
      </c>
      <c r="F984">
        <v>269.2995878370055</v>
      </c>
      <c r="G984">
        <v>273.9258434725964</v>
      </c>
      <c r="H984">
        <v>276.77320104872831</v>
      </c>
      <c r="I984">
        <v>318.76493887228708</v>
      </c>
      <c r="J984">
        <v>347.93623165015771</v>
      </c>
      <c r="K984">
        <v>350.4974273174081</v>
      </c>
      <c r="L984">
        <v>411.74653977078424</v>
      </c>
    </row>
    <row r="985" spans="1:12" x14ac:dyDescent="0.25">
      <c r="A985">
        <v>266.20579654474204</v>
      </c>
      <c r="B985">
        <v>256.06626657535782</v>
      </c>
      <c r="C985">
        <v>252.77885177542117</v>
      </c>
      <c r="D985">
        <v>257.72280660989304</v>
      </c>
      <c r="E985">
        <v>285.64041734175566</v>
      </c>
      <c r="F985">
        <v>257.71728818138001</v>
      </c>
      <c r="G985">
        <v>268.8352087995421</v>
      </c>
      <c r="H985">
        <v>283.74849088064565</v>
      </c>
      <c r="I985">
        <v>285.4812550191798</v>
      </c>
      <c r="J985">
        <v>310.08061289897466</v>
      </c>
      <c r="K985">
        <v>330.7041154673729</v>
      </c>
      <c r="L985">
        <v>391.5148684463532</v>
      </c>
    </row>
    <row r="986" spans="1:12" x14ac:dyDescent="0.25">
      <c r="A986">
        <v>228.55298303461686</v>
      </c>
      <c r="B986">
        <v>261.23828175791664</v>
      </c>
      <c r="C986">
        <v>242.16252072129012</v>
      </c>
      <c r="D986">
        <v>230.40066046863092</v>
      </c>
      <c r="E986">
        <v>257.67056944008505</v>
      </c>
      <c r="F986">
        <v>245.34391793887357</v>
      </c>
      <c r="G986">
        <v>267.29779438069284</v>
      </c>
      <c r="H986">
        <v>267.140124498104</v>
      </c>
      <c r="I986">
        <v>295.89892467588015</v>
      </c>
      <c r="J986">
        <v>304.98193807083436</v>
      </c>
      <c r="K986">
        <v>302.72497011162608</v>
      </c>
      <c r="L986">
        <v>372.33968019390329</v>
      </c>
    </row>
    <row r="987" spans="1:12" x14ac:dyDescent="0.25">
      <c r="A987">
        <v>241.26837238224093</v>
      </c>
      <c r="B987">
        <v>260.90129145796521</v>
      </c>
      <c r="C987">
        <v>241.11288831102533</v>
      </c>
      <c r="D987">
        <v>244.67196558119718</v>
      </c>
      <c r="E987">
        <v>280.84075294576286</v>
      </c>
      <c r="F987">
        <v>264.28800137540986</v>
      </c>
      <c r="G987">
        <v>279.07777124335615</v>
      </c>
      <c r="H987">
        <v>266.40473089282187</v>
      </c>
      <c r="I987">
        <v>302.31790442236394</v>
      </c>
      <c r="J987">
        <v>298.36867222836253</v>
      </c>
      <c r="K987">
        <v>326.59854091290055</v>
      </c>
      <c r="L987">
        <v>374.99789958753729</v>
      </c>
    </row>
    <row r="988" spans="1:12" x14ac:dyDescent="0.25">
      <c r="A988">
        <v>247.5821059776693</v>
      </c>
      <c r="B988">
        <v>252.37608423869005</v>
      </c>
      <c r="C988">
        <v>236.92797391426021</v>
      </c>
      <c r="D988">
        <v>234.35117620362578</v>
      </c>
      <c r="E988">
        <v>265.31025363063731</v>
      </c>
      <c r="F988">
        <v>235.90455899451939</v>
      </c>
      <c r="G988">
        <v>255.54736610643434</v>
      </c>
      <c r="H988">
        <v>234.56895367199184</v>
      </c>
      <c r="I988">
        <v>269.22299445778879</v>
      </c>
      <c r="J988">
        <v>281.10308307191883</v>
      </c>
      <c r="K988">
        <v>295.74355818763036</v>
      </c>
      <c r="L988">
        <v>349.43014792246453</v>
      </c>
    </row>
    <row r="989" spans="1:12" x14ac:dyDescent="0.25">
      <c r="A989">
        <v>243.79043986325121</v>
      </c>
      <c r="B989">
        <v>275.49559159050222</v>
      </c>
      <c r="C989">
        <v>263.80191946719935</v>
      </c>
      <c r="D989">
        <v>250.93982650212229</v>
      </c>
      <c r="E989">
        <v>293.69630494933739</v>
      </c>
      <c r="F989">
        <v>265.45153043179636</v>
      </c>
      <c r="G989">
        <v>278.74843048615315</v>
      </c>
      <c r="H989">
        <v>281.93414961752262</v>
      </c>
      <c r="I989">
        <v>292.37561162642953</v>
      </c>
      <c r="J989">
        <v>316.59463469522797</v>
      </c>
      <c r="K989">
        <v>344.81411545101849</v>
      </c>
      <c r="L989">
        <v>387.27401955213844</v>
      </c>
    </row>
    <row r="990" spans="1:12" x14ac:dyDescent="0.25">
      <c r="A990">
        <v>223.76545979130691</v>
      </c>
      <c r="B990">
        <v>253.74188272364529</v>
      </c>
      <c r="C990">
        <v>230.696086725138</v>
      </c>
      <c r="D990">
        <v>219.7113979875804</v>
      </c>
      <c r="E990">
        <v>278.57801815578307</v>
      </c>
      <c r="F990">
        <v>236.92608275570416</v>
      </c>
      <c r="G990">
        <v>234.09141088845718</v>
      </c>
      <c r="H990">
        <v>261.84092267292277</v>
      </c>
      <c r="I990">
        <v>264.65042355002078</v>
      </c>
      <c r="J990">
        <v>276.20133853801758</v>
      </c>
      <c r="K990">
        <v>298.26708921549289</v>
      </c>
      <c r="L990">
        <v>344.78046403204524</v>
      </c>
    </row>
    <row r="991" spans="1:12" x14ac:dyDescent="0.25">
      <c r="A991">
        <v>239.98923184416955</v>
      </c>
      <c r="B991">
        <v>257.35048223935524</v>
      </c>
      <c r="C991">
        <v>235.80143620660152</v>
      </c>
      <c r="D991">
        <v>262.75479180236385</v>
      </c>
      <c r="E991">
        <v>284.86274219485307</v>
      </c>
      <c r="F991">
        <v>241.77615701920271</v>
      </c>
      <c r="G991">
        <v>253.89402199317863</v>
      </c>
      <c r="H991">
        <v>257.81763938736549</v>
      </c>
      <c r="I991">
        <v>276.16258538943038</v>
      </c>
      <c r="J991">
        <v>304.12978193752144</v>
      </c>
      <c r="K991">
        <v>297.0220681860842</v>
      </c>
      <c r="L991">
        <v>353.07848640284288</v>
      </c>
    </row>
    <row r="992" spans="1:12" x14ac:dyDescent="0.25">
      <c r="A992">
        <v>241.89371258268534</v>
      </c>
      <c r="B992">
        <v>246.15191114913949</v>
      </c>
      <c r="C992">
        <v>220.60241135649554</v>
      </c>
      <c r="D992">
        <v>224.62801021572747</v>
      </c>
      <c r="E992">
        <v>253.10403034167925</v>
      </c>
      <c r="F992">
        <v>222.57846652084629</v>
      </c>
      <c r="G992">
        <v>233.30187126890647</v>
      </c>
      <c r="H992">
        <v>234.53856164728069</v>
      </c>
      <c r="I992">
        <v>240.92869006519106</v>
      </c>
      <c r="J992">
        <v>272.94405977915522</v>
      </c>
      <c r="K992">
        <v>290.89379412168898</v>
      </c>
      <c r="L992">
        <v>336.72094475839361</v>
      </c>
    </row>
    <row r="993" spans="1:12" x14ac:dyDescent="0.25">
      <c r="A993">
        <v>256.80653090734688</v>
      </c>
      <c r="B993">
        <v>271.78909322622974</v>
      </c>
      <c r="C993">
        <v>257.05953208592922</v>
      </c>
      <c r="D993">
        <v>236.61126020918186</v>
      </c>
      <c r="E993">
        <v>289.76632387916186</v>
      </c>
      <c r="F993">
        <v>251.43449314404469</v>
      </c>
      <c r="G993">
        <v>256.44892895121177</v>
      </c>
      <c r="H993">
        <v>277.99243435993702</v>
      </c>
      <c r="I993">
        <v>317.27779349397633</v>
      </c>
      <c r="J993">
        <v>320.62212640378505</v>
      </c>
      <c r="K993">
        <v>345.09714771148418</v>
      </c>
      <c r="L993">
        <v>388.74573636015418</v>
      </c>
    </row>
    <row r="994" spans="1:12" x14ac:dyDescent="0.25">
      <c r="A994">
        <v>243.7409951365006</v>
      </c>
      <c r="B994">
        <v>282.28323670747966</v>
      </c>
      <c r="C994">
        <v>250.8312809485146</v>
      </c>
      <c r="D994">
        <v>239.43404371135182</v>
      </c>
      <c r="E994">
        <v>284.90429713264319</v>
      </c>
      <c r="F994">
        <v>264.69520825802289</v>
      </c>
      <c r="G994">
        <v>256.24575584787692</v>
      </c>
      <c r="H994">
        <v>272.53397735458339</v>
      </c>
      <c r="I994">
        <v>276.89362767233064</v>
      </c>
      <c r="J994">
        <v>299.73664360516136</v>
      </c>
      <c r="K994">
        <v>319.05778721086682</v>
      </c>
      <c r="L994">
        <v>341.80097699268555</v>
      </c>
    </row>
    <row r="995" spans="1:12" x14ac:dyDescent="0.25">
      <c r="A995">
        <v>242.87523902523034</v>
      </c>
      <c r="B995">
        <v>272.64511991424479</v>
      </c>
      <c r="C995">
        <v>246.96014119427838</v>
      </c>
      <c r="D995">
        <v>231.26362738326054</v>
      </c>
      <c r="E995">
        <v>269.03148035255691</v>
      </c>
      <c r="F995">
        <v>261.40265521909714</v>
      </c>
      <c r="G995">
        <v>239.13605034215985</v>
      </c>
      <c r="H995">
        <v>256.19106608766015</v>
      </c>
      <c r="I995">
        <v>283.99405082722745</v>
      </c>
      <c r="J995">
        <v>288.77838967714513</v>
      </c>
      <c r="K995">
        <v>303.1424855005464</v>
      </c>
      <c r="L995">
        <v>361.10318665273155</v>
      </c>
    </row>
    <row r="996" spans="1:12" x14ac:dyDescent="0.25">
      <c r="A996">
        <v>256.03682122086053</v>
      </c>
      <c r="B996">
        <v>274.66131377954957</v>
      </c>
      <c r="C996">
        <v>250.00243446216317</v>
      </c>
      <c r="D996">
        <v>255.68633535360939</v>
      </c>
      <c r="E996">
        <v>288.89362458767221</v>
      </c>
      <c r="F996">
        <v>277.30516784067049</v>
      </c>
      <c r="G996">
        <v>281.89957559796653</v>
      </c>
      <c r="H996">
        <v>285.0297405888254</v>
      </c>
      <c r="I996">
        <v>319.71033440709539</v>
      </c>
      <c r="J996">
        <v>329.85677009588119</v>
      </c>
      <c r="K996">
        <v>339.2337276673656</v>
      </c>
      <c r="L996">
        <v>404.46481285701674</v>
      </c>
    </row>
    <row r="997" spans="1:12" x14ac:dyDescent="0.25">
      <c r="A997">
        <v>246.02649217156218</v>
      </c>
      <c r="B997">
        <v>263.35515267109224</v>
      </c>
      <c r="C997">
        <v>242.81917923057236</v>
      </c>
      <c r="D997">
        <v>247.71286556234136</v>
      </c>
      <c r="E997">
        <v>280.74192173523682</v>
      </c>
      <c r="F997">
        <v>262.54872367477606</v>
      </c>
      <c r="G997">
        <v>261.29222194192999</v>
      </c>
      <c r="H997">
        <v>272.4917223765853</v>
      </c>
      <c r="I997">
        <v>290.32149570399179</v>
      </c>
      <c r="J997">
        <v>297.33261934083225</v>
      </c>
      <c r="K997">
        <v>313.89133007671023</v>
      </c>
      <c r="L997">
        <v>367.55086626080589</v>
      </c>
    </row>
    <row r="998" spans="1:12" x14ac:dyDescent="0.25">
      <c r="A998">
        <v>249.92084730639687</v>
      </c>
      <c r="B998">
        <v>267.56132723885912</v>
      </c>
      <c r="C998">
        <v>246.3981383528531</v>
      </c>
      <c r="D998">
        <v>234.63122990772857</v>
      </c>
      <c r="E998">
        <v>280.9510209813651</v>
      </c>
      <c r="F998">
        <v>248.82260089773382</v>
      </c>
      <c r="G998">
        <v>244.33238586031672</v>
      </c>
      <c r="H998">
        <v>257.42922177826921</v>
      </c>
      <c r="I998">
        <v>279.28089658226111</v>
      </c>
      <c r="J998">
        <v>315.94545776824759</v>
      </c>
      <c r="K998">
        <v>327.35671330293809</v>
      </c>
      <c r="L998">
        <v>360.16069234387476</v>
      </c>
    </row>
    <row r="999" spans="1:12" x14ac:dyDescent="0.25">
      <c r="A999">
        <v>250.68460798432477</v>
      </c>
      <c r="B999">
        <v>270.86821591524233</v>
      </c>
      <c r="C999">
        <v>234.03703848581497</v>
      </c>
      <c r="D999">
        <v>236.50902736837713</v>
      </c>
      <c r="E999">
        <v>287.33247377345594</v>
      </c>
      <c r="F999">
        <v>252.39668936655178</v>
      </c>
      <c r="G999">
        <v>243.68416378553945</v>
      </c>
      <c r="H999">
        <v>273.72355117057958</v>
      </c>
      <c r="I999">
        <v>266.44820149196528</v>
      </c>
      <c r="J999">
        <v>272.91730896249868</v>
      </c>
      <c r="K999">
        <v>286.81654955043365</v>
      </c>
      <c r="L999">
        <v>329.38811128066402</v>
      </c>
    </row>
    <row r="1000" spans="1:12" x14ac:dyDescent="0.25">
      <c r="A1000">
        <v>230.59932859906772</v>
      </c>
      <c r="B1000">
        <v>258.11386116231949</v>
      </c>
      <c r="C1000">
        <v>244.33414153745608</v>
      </c>
      <c r="D1000">
        <v>234.60791358931317</v>
      </c>
      <c r="E1000">
        <v>259.98417129031986</v>
      </c>
      <c r="F1000">
        <v>231.86262770318632</v>
      </c>
      <c r="G1000">
        <v>230.85382441677149</v>
      </c>
      <c r="H1000">
        <v>253.36276317094783</v>
      </c>
      <c r="I1000">
        <v>286.19613421113189</v>
      </c>
      <c r="J1000">
        <v>270.3152809887963</v>
      </c>
      <c r="K1000">
        <v>272.29647191452062</v>
      </c>
      <c r="L1000">
        <v>335.84252733963126</v>
      </c>
    </row>
    <row r="1001" spans="1:12" x14ac:dyDescent="0.25">
      <c r="A1001">
        <v>249.21548219792524</v>
      </c>
      <c r="B1001">
        <v>256.96534643982864</v>
      </c>
      <c r="C1001">
        <v>249.09036316126469</v>
      </c>
      <c r="D1001">
        <v>234.51287714288569</v>
      </c>
      <c r="E1001">
        <v>259.21883462817664</v>
      </c>
      <c r="F1001">
        <v>237.03169245220002</v>
      </c>
      <c r="G1001">
        <v>224.22247895752375</v>
      </c>
      <c r="H1001">
        <v>244.12473255240829</v>
      </c>
      <c r="I1001">
        <v>266.6839190210963</v>
      </c>
      <c r="J1001">
        <v>249.54571744755216</v>
      </c>
      <c r="K1001">
        <v>280.75552204731969</v>
      </c>
      <c r="L1001">
        <v>313.68291504462707</v>
      </c>
    </row>
    <row r="1002" spans="1:12" x14ac:dyDescent="0.25">
      <c r="A1002">
        <v>252.28871859727516</v>
      </c>
      <c r="B1002">
        <v>246.06319316248067</v>
      </c>
      <c r="C1002">
        <v>237.81912154380527</v>
      </c>
      <c r="D1002">
        <v>231.49735663430116</v>
      </c>
      <c r="E1002">
        <v>275.20587839091678</v>
      </c>
      <c r="F1002">
        <v>249.62554810180993</v>
      </c>
      <c r="G1002">
        <v>245.59557011982929</v>
      </c>
      <c r="H1002">
        <v>282.75755792554907</v>
      </c>
      <c r="I1002">
        <v>280.4130800449567</v>
      </c>
      <c r="J1002">
        <v>294.78997914940817</v>
      </c>
      <c r="K1002">
        <v>310.42775963846174</v>
      </c>
      <c r="L1002">
        <v>370.10552123596517</v>
      </c>
    </row>
    <row r="1003" spans="1:12" x14ac:dyDescent="0.25">
      <c r="A1003">
        <v>247.79667745179543</v>
      </c>
      <c r="B1003">
        <v>262.61560655722172</v>
      </c>
      <c r="C1003">
        <v>236.55267668761181</v>
      </c>
      <c r="D1003">
        <v>235.42590589826088</v>
      </c>
      <c r="E1003">
        <v>276.2841663057801</v>
      </c>
      <c r="F1003">
        <v>246.31175342837085</v>
      </c>
      <c r="G1003">
        <v>252.69283944178238</v>
      </c>
      <c r="H1003">
        <v>269.02804534822599</v>
      </c>
      <c r="I1003">
        <v>291.59302335220457</v>
      </c>
      <c r="J1003">
        <v>293.26488422830454</v>
      </c>
      <c r="K1003">
        <v>315.85122068956309</v>
      </c>
      <c r="L1003">
        <v>389.89154811788143</v>
      </c>
    </row>
    <row r="1004" spans="1:12" x14ac:dyDescent="0.25">
      <c r="A1004">
        <v>251.99280464695556</v>
      </c>
      <c r="B1004">
        <v>248.07615007035864</v>
      </c>
      <c r="C1004">
        <v>243.68778560003821</v>
      </c>
      <c r="D1004">
        <v>223.23011371236629</v>
      </c>
      <c r="E1004">
        <v>268.08825713044274</v>
      </c>
      <c r="F1004">
        <v>242.9268524211823</v>
      </c>
      <c r="G1004">
        <v>272.35029232274218</v>
      </c>
      <c r="H1004">
        <v>234.21270085766378</v>
      </c>
      <c r="I1004">
        <v>283.73823141253808</v>
      </c>
      <c r="J1004">
        <v>273.35319384213579</v>
      </c>
      <c r="K1004">
        <v>308.66753411910952</v>
      </c>
      <c r="L1004">
        <v>350.58146945122922</v>
      </c>
    </row>
    <row r="1005" spans="1:12" x14ac:dyDescent="0.25">
      <c r="A1005">
        <v>240.13731614394638</v>
      </c>
      <c r="B1005">
        <v>265.56521208167624</v>
      </c>
      <c r="C1005">
        <v>258.48225315632004</v>
      </c>
      <c r="D1005">
        <v>239.01759199577694</v>
      </c>
      <c r="E1005">
        <v>279.20282603225826</v>
      </c>
      <c r="F1005">
        <v>231.21824464911822</v>
      </c>
      <c r="G1005">
        <v>260.40423753973289</v>
      </c>
      <c r="H1005">
        <v>238.91287889312693</v>
      </c>
      <c r="I1005">
        <v>273.23063506737344</v>
      </c>
      <c r="J1005">
        <v>277.83788998471624</v>
      </c>
      <c r="K1005">
        <v>312.29459191435467</v>
      </c>
      <c r="L1005">
        <v>345.71710628181319</v>
      </c>
    </row>
    <row r="1006" spans="1:12" x14ac:dyDescent="0.25">
      <c r="A1006">
        <v>255.93006313879002</v>
      </c>
      <c r="B1006">
        <v>275.96617482057547</v>
      </c>
      <c r="C1006">
        <v>230.98382219238479</v>
      </c>
      <c r="D1006">
        <v>243.47358459792389</v>
      </c>
      <c r="E1006">
        <v>272.43169464896289</v>
      </c>
      <c r="F1006">
        <v>229.67764465626053</v>
      </c>
      <c r="G1006">
        <v>257.29675557934331</v>
      </c>
      <c r="H1006">
        <v>263.40727877475274</v>
      </c>
      <c r="I1006">
        <v>276.79305037983522</v>
      </c>
      <c r="J1006">
        <v>303.39772215010902</v>
      </c>
      <c r="K1006">
        <v>305.86581523858115</v>
      </c>
      <c r="L1006">
        <v>357.70809924682288</v>
      </c>
    </row>
    <row r="1007" spans="1:12" x14ac:dyDescent="0.25">
      <c r="A1007">
        <v>250.23703842845205</v>
      </c>
      <c r="B1007">
        <v>265.11439914124981</v>
      </c>
      <c r="C1007">
        <v>243.5989283730581</v>
      </c>
      <c r="D1007">
        <v>238.94466004964704</v>
      </c>
      <c r="E1007">
        <v>290.7841740375984</v>
      </c>
      <c r="F1007">
        <v>219.71568481042672</v>
      </c>
      <c r="G1007">
        <v>247.3743885965545</v>
      </c>
      <c r="H1007">
        <v>256.62128704463623</v>
      </c>
      <c r="I1007">
        <v>272.95143556774093</v>
      </c>
      <c r="J1007">
        <v>274.34221654937545</v>
      </c>
      <c r="K1007">
        <v>304.44814065091731</v>
      </c>
      <c r="L1007">
        <v>351.64696436853842</v>
      </c>
    </row>
    <row r="1008" spans="1:12" x14ac:dyDescent="0.25">
      <c r="A1008">
        <v>238.91455319402431</v>
      </c>
      <c r="B1008">
        <v>256.80487229683951</v>
      </c>
      <c r="C1008">
        <v>242.08112041870965</v>
      </c>
      <c r="D1008">
        <v>237.06065209083965</v>
      </c>
      <c r="E1008">
        <v>273.61033406712812</v>
      </c>
      <c r="F1008">
        <v>240.60025547848085</v>
      </c>
      <c r="G1008">
        <v>237.74113172106721</v>
      </c>
      <c r="H1008">
        <v>240.17887488423816</v>
      </c>
      <c r="I1008">
        <v>257.22298283188633</v>
      </c>
      <c r="J1008">
        <v>255.21367804266515</v>
      </c>
      <c r="K1008">
        <v>257.66529784420544</v>
      </c>
      <c r="L1008">
        <v>296.64743467752561</v>
      </c>
    </row>
    <row r="1009" spans="1:12" x14ac:dyDescent="0.25">
      <c r="A1009">
        <v>254.44657202068117</v>
      </c>
      <c r="B1009">
        <v>268.97341973837416</v>
      </c>
      <c r="C1009">
        <v>265.35219066056391</v>
      </c>
      <c r="D1009">
        <v>249.92613124744929</v>
      </c>
      <c r="E1009">
        <v>311.87704572792609</v>
      </c>
      <c r="F1009">
        <v>271.16472337701998</v>
      </c>
      <c r="G1009">
        <v>277.09693839779112</v>
      </c>
      <c r="H1009">
        <v>302.48596778194747</v>
      </c>
      <c r="I1009">
        <v>327.84061302795868</v>
      </c>
      <c r="J1009">
        <v>342.8204031819804</v>
      </c>
      <c r="K1009">
        <v>380.32549548630874</v>
      </c>
      <c r="L1009">
        <v>441.51297756276949</v>
      </c>
    </row>
    <row r="1010" spans="1:12" x14ac:dyDescent="0.25">
      <c r="A1010">
        <v>243.02274030946614</v>
      </c>
      <c r="B1010">
        <v>250.61163657551123</v>
      </c>
      <c r="C1010">
        <v>257.61341340788852</v>
      </c>
      <c r="D1010">
        <v>262.51308299578517</v>
      </c>
      <c r="E1010">
        <v>294.36167488395512</v>
      </c>
      <c r="F1010">
        <v>258.81438602020819</v>
      </c>
      <c r="G1010">
        <v>267.01029571712775</v>
      </c>
      <c r="H1010">
        <v>279.29612510233176</v>
      </c>
      <c r="I1010">
        <v>293.31516233089076</v>
      </c>
      <c r="J1010">
        <v>319.44744661247427</v>
      </c>
      <c r="K1010">
        <v>329.3492537206937</v>
      </c>
      <c r="L1010">
        <v>386.5353013800613</v>
      </c>
    </row>
    <row r="1011" spans="1:12" x14ac:dyDescent="0.25">
      <c r="A1011">
        <v>234.41022384427643</v>
      </c>
      <c r="B1011">
        <v>248.4519008680293</v>
      </c>
      <c r="C1011">
        <v>248.59375064704992</v>
      </c>
      <c r="D1011">
        <v>225.0410492330561</v>
      </c>
      <c r="E1011">
        <v>263.3494420790534</v>
      </c>
      <c r="F1011">
        <v>239.62025040263052</v>
      </c>
      <c r="G1011">
        <v>245.14432779657602</v>
      </c>
      <c r="H1011">
        <v>236.55762599744673</v>
      </c>
      <c r="I1011">
        <v>296.48455526681573</v>
      </c>
      <c r="J1011">
        <v>289.43347098876256</v>
      </c>
      <c r="K1011">
        <v>292.36483593699103</v>
      </c>
      <c r="L1011">
        <v>343.14194513843859</v>
      </c>
    </row>
    <row r="1012" spans="1:12" x14ac:dyDescent="0.25">
      <c r="A1012">
        <v>235.53307212396737</v>
      </c>
      <c r="B1012">
        <v>276.94861752380353</v>
      </c>
      <c r="C1012">
        <v>241.33377382709355</v>
      </c>
      <c r="D1012">
        <v>231.17213708169078</v>
      </c>
      <c r="E1012">
        <v>286.07973817053346</v>
      </c>
      <c r="F1012">
        <v>269.58171005354501</v>
      </c>
      <c r="G1012">
        <v>264.64894169593384</v>
      </c>
      <c r="H1012">
        <v>276.29204091327102</v>
      </c>
      <c r="I1012">
        <v>294.61639419055621</v>
      </c>
      <c r="J1012">
        <v>309.27789984252939</v>
      </c>
      <c r="K1012">
        <v>320.01168208081066</v>
      </c>
      <c r="L1012">
        <v>372.57797319058727</v>
      </c>
    </row>
    <row r="1013" spans="1:12" x14ac:dyDescent="0.25">
      <c r="A1013">
        <v>242.43811257542234</v>
      </c>
      <c r="B1013">
        <v>256.86890912964952</v>
      </c>
      <c r="C1013">
        <v>238.43802851408901</v>
      </c>
      <c r="D1013">
        <v>227.55708665917601</v>
      </c>
      <c r="E1013">
        <v>278.94670557611971</v>
      </c>
      <c r="F1013">
        <v>249.76236902066788</v>
      </c>
      <c r="G1013">
        <v>278.28168381755972</v>
      </c>
      <c r="H1013">
        <v>286.09477642167082</v>
      </c>
      <c r="I1013">
        <v>302.23771184990767</v>
      </c>
      <c r="J1013">
        <v>329.15433599075811</v>
      </c>
      <c r="K1013">
        <v>332.96429277901854</v>
      </c>
      <c r="L1013">
        <v>419.96950511839771</v>
      </c>
    </row>
    <row r="1014" spans="1:12" x14ac:dyDescent="0.25">
      <c r="A1014">
        <v>254.6142248337209</v>
      </c>
      <c r="B1014">
        <v>258.49233098150501</v>
      </c>
      <c r="C1014">
        <v>252.31338364823813</v>
      </c>
      <c r="D1014">
        <v>243.49561262798426</v>
      </c>
      <c r="E1014">
        <v>289.26869577851289</v>
      </c>
      <c r="F1014">
        <v>264.61947348551519</v>
      </c>
      <c r="G1014">
        <v>258.87831200882346</v>
      </c>
      <c r="H1014">
        <v>285.01299260440027</v>
      </c>
      <c r="I1014">
        <v>302.75995474279011</v>
      </c>
      <c r="J1014">
        <v>321.71560556552203</v>
      </c>
      <c r="K1014">
        <v>347.53986108182733</v>
      </c>
      <c r="L1014">
        <v>401.98490161482533</v>
      </c>
    </row>
    <row r="1015" spans="1:12" x14ac:dyDescent="0.25">
      <c r="A1015">
        <v>269.19704194242229</v>
      </c>
      <c r="B1015">
        <v>267.24352092945401</v>
      </c>
      <c r="C1015">
        <v>229.69406601122748</v>
      </c>
      <c r="D1015">
        <v>260.75040578511675</v>
      </c>
      <c r="E1015">
        <v>294.42001292781765</v>
      </c>
      <c r="F1015">
        <v>260.34672245334548</v>
      </c>
      <c r="G1015">
        <v>270.53871101814343</v>
      </c>
      <c r="H1015">
        <v>269.35374049134737</v>
      </c>
      <c r="I1015">
        <v>281.44662240214535</v>
      </c>
      <c r="J1015">
        <v>327.93847845186053</v>
      </c>
      <c r="K1015">
        <v>324.93978811595787</v>
      </c>
      <c r="L1015">
        <v>387.52626204930357</v>
      </c>
    </row>
    <row r="1016" spans="1:12" x14ac:dyDescent="0.25">
      <c r="A1016">
        <v>261.01365116139141</v>
      </c>
      <c r="B1016">
        <v>272.26749210889557</v>
      </c>
      <c r="C1016">
        <v>252.73170880186424</v>
      </c>
      <c r="D1016">
        <v>254.00826417293501</v>
      </c>
      <c r="E1016">
        <v>304.2351020290958</v>
      </c>
      <c r="F1016">
        <v>275.85900368476763</v>
      </c>
      <c r="G1016">
        <v>282.98787403940901</v>
      </c>
      <c r="H1016">
        <v>306.91590446896112</v>
      </c>
      <c r="I1016">
        <v>339.4972365789435</v>
      </c>
      <c r="J1016">
        <v>340.3906308806807</v>
      </c>
      <c r="K1016">
        <v>387.89097805135725</v>
      </c>
      <c r="L1016">
        <v>445.12008378577571</v>
      </c>
    </row>
    <row r="1017" spans="1:12" x14ac:dyDescent="0.25">
      <c r="A1017">
        <v>249.00552255360046</v>
      </c>
      <c r="B1017">
        <v>268.57689486009269</v>
      </c>
      <c r="C1017">
        <v>265.31597133638763</v>
      </c>
      <c r="D1017">
        <v>262.56458042810755</v>
      </c>
      <c r="E1017">
        <v>294.40455544368831</v>
      </c>
      <c r="F1017">
        <v>262.47869145904434</v>
      </c>
      <c r="G1017">
        <v>270.99548915253445</v>
      </c>
      <c r="H1017">
        <v>301.85717886031233</v>
      </c>
      <c r="I1017">
        <v>319.24175367589447</v>
      </c>
      <c r="J1017">
        <v>334.99435738523471</v>
      </c>
      <c r="K1017">
        <v>368.54283608926295</v>
      </c>
      <c r="L1017">
        <v>423.33710563704113</v>
      </c>
    </row>
    <row r="1018" spans="1:12" x14ac:dyDescent="0.25">
      <c r="A1018">
        <v>245.19589833756532</v>
      </c>
      <c r="B1018">
        <v>279.68937716984692</v>
      </c>
      <c r="C1018">
        <v>229.17789323661736</v>
      </c>
      <c r="D1018">
        <v>235.68811766983075</v>
      </c>
      <c r="E1018">
        <v>284.03823303247827</v>
      </c>
      <c r="F1018">
        <v>257.68916460313687</v>
      </c>
      <c r="G1018">
        <v>263.46394264442017</v>
      </c>
      <c r="H1018">
        <v>273.39563356069755</v>
      </c>
      <c r="I1018">
        <v>298.0008656147956</v>
      </c>
      <c r="J1018">
        <v>308.54324219622993</v>
      </c>
      <c r="K1018">
        <v>339.97561245119294</v>
      </c>
      <c r="L1018">
        <v>389.01480628945774</v>
      </c>
    </row>
    <row r="1019" spans="1:12" x14ac:dyDescent="0.25">
      <c r="A1019">
        <v>255.40330672743687</v>
      </c>
      <c r="B1019">
        <v>273.86677469728465</v>
      </c>
      <c r="C1019">
        <v>251.03309133663987</v>
      </c>
      <c r="D1019">
        <v>257.65935237635841</v>
      </c>
      <c r="E1019">
        <v>289.23610630236362</v>
      </c>
      <c r="F1019">
        <v>270.60273227982663</v>
      </c>
      <c r="G1019">
        <v>273.38870679489264</v>
      </c>
      <c r="H1019">
        <v>290.93242578652269</v>
      </c>
      <c r="I1019">
        <v>309.7793130007712</v>
      </c>
      <c r="J1019">
        <v>331.41740847244932</v>
      </c>
      <c r="K1019">
        <v>338.3995581046392</v>
      </c>
      <c r="L1019">
        <v>393.58931407028837</v>
      </c>
    </row>
    <row r="1020" spans="1:12" x14ac:dyDescent="0.25">
      <c r="A1020">
        <v>248.96648308399918</v>
      </c>
      <c r="B1020">
        <v>263.47618592408304</v>
      </c>
      <c r="C1020">
        <v>258.68380352073734</v>
      </c>
      <c r="D1020">
        <v>238.1309521442769</v>
      </c>
      <c r="E1020">
        <v>289.23536911844315</v>
      </c>
      <c r="F1020">
        <v>244.421312777183</v>
      </c>
      <c r="G1020">
        <v>274.30261027801288</v>
      </c>
      <c r="H1020">
        <v>265.42110222174898</v>
      </c>
      <c r="I1020">
        <v>284.71583566712587</v>
      </c>
      <c r="J1020">
        <v>297.77115109595672</v>
      </c>
      <c r="K1020">
        <v>335.01931742692489</v>
      </c>
      <c r="L1020">
        <v>378.03067381737583</v>
      </c>
    </row>
    <row r="1021" spans="1:12" x14ac:dyDescent="0.25">
      <c r="A1021">
        <v>261.24177944552878</v>
      </c>
      <c r="B1021">
        <v>258.4127105425664</v>
      </c>
      <c r="C1021">
        <v>254.02959403846393</v>
      </c>
      <c r="D1021">
        <v>257.63689903886592</v>
      </c>
      <c r="E1021">
        <v>296.51277393225701</v>
      </c>
      <c r="F1021">
        <v>262.41878283535414</v>
      </c>
      <c r="G1021">
        <v>288.54293552220662</v>
      </c>
      <c r="H1021">
        <v>299.64333280375718</v>
      </c>
      <c r="I1021">
        <v>326.63114711183925</v>
      </c>
      <c r="J1021">
        <v>348.86909319385836</v>
      </c>
      <c r="K1021">
        <v>371.6399440095642</v>
      </c>
      <c r="L1021">
        <v>428.98607459469179</v>
      </c>
    </row>
    <row r="1022" spans="1:12" x14ac:dyDescent="0.25">
      <c r="A1022">
        <v>245.21663357290598</v>
      </c>
      <c r="B1022">
        <v>265.90065352519701</v>
      </c>
      <c r="C1022">
        <v>238.37388014186467</v>
      </c>
      <c r="D1022">
        <v>234.16571599166065</v>
      </c>
      <c r="E1022">
        <v>271.9513697709213</v>
      </c>
      <c r="F1022">
        <v>260.49272722436103</v>
      </c>
      <c r="G1022">
        <v>252.04504960296075</v>
      </c>
      <c r="H1022">
        <v>280.45990241668909</v>
      </c>
      <c r="I1022">
        <v>289.93632709578048</v>
      </c>
      <c r="J1022">
        <v>314.84491255745843</v>
      </c>
      <c r="K1022">
        <v>330.52920963908468</v>
      </c>
      <c r="L1022">
        <v>377.48866295876854</v>
      </c>
    </row>
    <row r="1023" spans="1:12" x14ac:dyDescent="0.25">
      <c r="A1023">
        <v>238.37122094844889</v>
      </c>
      <c r="B1023">
        <v>265.59517868332136</v>
      </c>
      <c r="C1023">
        <v>259.33150970873237</v>
      </c>
      <c r="D1023">
        <v>234.18658773365522</v>
      </c>
      <c r="E1023">
        <v>276.43222273651804</v>
      </c>
      <c r="F1023">
        <v>246.8248887581934</v>
      </c>
      <c r="G1023">
        <v>274.92542040640762</v>
      </c>
      <c r="H1023">
        <v>275.47113570420072</v>
      </c>
      <c r="I1023">
        <v>294.430982908776</v>
      </c>
      <c r="J1023">
        <v>298.66985512341859</v>
      </c>
      <c r="K1023">
        <v>319.42836814822994</v>
      </c>
      <c r="L1023">
        <v>369.32575067068831</v>
      </c>
    </row>
    <row r="1024" spans="1:12" x14ac:dyDescent="0.25">
      <c r="A1024">
        <v>262.77497839561937</v>
      </c>
      <c r="B1024">
        <v>273.6302996498074</v>
      </c>
      <c r="C1024">
        <v>262.32048852514998</v>
      </c>
      <c r="D1024">
        <v>256.52102475438289</v>
      </c>
      <c r="E1024">
        <v>306.62137593077301</v>
      </c>
      <c r="F1024">
        <v>274.76950079293186</v>
      </c>
      <c r="G1024">
        <v>270.08458284141847</v>
      </c>
      <c r="H1024">
        <v>299.38043782662209</v>
      </c>
      <c r="I1024">
        <v>325.89885867096655</v>
      </c>
      <c r="J1024">
        <v>322.61294764724039</v>
      </c>
      <c r="K1024">
        <v>376.20497864199149</v>
      </c>
      <c r="L1024">
        <v>430.59991789849511</v>
      </c>
    </row>
    <row r="1025" spans="1:12" x14ac:dyDescent="0.25">
      <c r="A1025">
        <v>254.2820427461314</v>
      </c>
      <c r="B1025">
        <v>275.7076586446359</v>
      </c>
      <c r="C1025">
        <v>244.0984041909787</v>
      </c>
      <c r="D1025">
        <v>242.46942681284304</v>
      </c>
      <c r="E1025">
        <v>281.89085830459589</v>
      </c>
      <c r="F1025">
        <v>271.61251958916625</v>
      </c>
      <c r="G1025">
        <v>281.42992036101651</v>
      </c>
      <c r="H1025">
        <v>268.75004065009438</v>
      </c>
      <c r="I1025">
        <v>294.64489680044449</v>
      </c>
      <c r="J1025">
        <v>313.85587438929309</v>
      </c>
      <c r="K1025">
        <v>339.72973705225633</v>
      </c>
      <c r="L1025">
        <v>397.49236490985311</v>
      </c>
    </row>
    <row r="1026" spans="1:12" x14ac:dyDescent="0.25">
      <c r="A1026">
        <v>263.38285960391789</v>
      </c>
      <c r="B1026">
        <v>279.15565258343105</v>
      </c>
      <c r="C1026">
        <v>247.8277753582218</v>
      </c>
      <c r="D1026">
        <v>257.2823180198402</v>
      </c>
      <c r="E1026">
        <v>277.05640323102142</v>
      </c>
      <c r="F1026">
        <v>256.79431267195343</v>
      </c>
      <c r="G1026">
        <v>280.11123141771714</v>
      </c>
      <c r="H1026">
        <v>282.83337730859245</v>
      </c>
      <c r="I1026">
        <v>304.47536100850681</v>
      </c>
      <c r="J1026">
        <v>334.17524846916672</v>
      </c>
      <c r="K1026">
        <v>328.3052154591735</v>
      </c>
      <c r="L1026">
        <v>411.12787825011333</v>
      </c>
    </row>
    <row r="1027" spans="1:12" x14ac:dyDescent="0.25">
      <c r="A1027">
        <v>244.76237423203233</v>
      </c>
      <c r="B1027">
        <v>266.48686876503126</v>
      </c>
      <c r="C1027">
        <v>247.36251052856505</v>
      </c>
      <c r="D1027">
        <v>231.06928729565985</v>
      </c>
      <c r="E1027">
        <v>286.55229566337442</v>
      </c>
      <c r="F1027">
        <v>242.36594533058545</v>
      </c>
      <c r="G1027">
        <v>240.4534080193566</v>
      </c>
      <c r="H1027">
        <v>268.99109805112823</v>
      </c>
      <c r="I1027">
        <v>271.11879119517619</v>
      </c>
      <c r="J1027">
        <v>295.85419559783605</v>
      </c>
      <c r="K1027">
        <v>292.39620203992786</v>
      </c>
      <c r="L1027">
        <v>364.15350789099369</v>
      </c>
    </row>
    <row r="1028" spans="1:12" x14ac:dyDescent="0.25">
      <c r="A1028">
        <v>245.79533454111908</v>
      </c>
      <c r="B1028">
        <v>262.79282753798378</v>
      </c>
      <c r="C1028">
        <v>252.98331043990609</v>
      </c>
      <c r="D1028">
        <v>248.43380285833962</v>
      </c>
      <c r="E1028">
        <v>282.65288264178366</v>
      </c>
      <c r="F1028">
        <v>249.37840187839967</v>
      </c>
      <c r="G1028">
        <v>269.80691985426722</v>
      </c>
      <c r="H1028">
        <v>266.01787467602139</v>
      </c>
      <c r="I1028">
        <v>308.92932988195514</v>
      </c>
      <c r="J1028">
        <v>309.98354938768279</v>
      </c>
      <c r="K1028">
        <v>325.80864545609364</v>
      </c>
      <c r="L1028">
        <v>396.47481755072937</v>
      </c>
    </row>
    <row r="1029" spans="1:12" x14ac:dyDescent="0.25">
      <c r="A1029">
        <v>233.94583264105515</v>
      </c>
      <c r="B1029">
        <v>256.01839644404612</v>
      </c>
      <c r="C1029">
        <v>239.17952431230631</v>
      </c>
      <c r="D1029">
        <v>233.01220722687944</v>
      </c>
      <c r="E1029">
        <v>286.25991200283062</v>
      </c>
      <c r="F1029">
        <v>263.09399406045407</v>
      </c>
      <c r="G1029">
        <v>261.89499776511673</v>
      </c>
      <c r="H1029">
        <v>278.1983798132685</v>
      </c>
      <c r="I1029">
        <v>280.22065742914532</v>
      </c>
      <c r="J1029">
        <v>306.38687873702423</v>
      </c>
      <c r="K1029">
        <v>329.42130421018982</v>
      </c>
      <c r="L1029">
        <v>377.69095814685016</v>
      </c>
    </row>
    <row r="1030" spans="1:12" x14ac:dyDescent="0.25">
      <c r="A1030">
        <v>235.54945291399113</v>
      </c>
      <c r="B1030">
        <v>259.67114197781643</v>
      </c>
      <c r="C1030">
        <v>263.77340845589652</v>
      </c>
      <c r="D1030">
        <v>240.31562180003132</v>
      </c>
      <c r="E1030">
        <v>267.46465738767023</v>
      </c>
      <c r="F1030">
        <v>239.10754920400478</v>
      </c>
      <c r="G1030">
        <v>242.43076903486801</v>
      </c>
      <c r="H1030">
        <v>244.72965344592939</v>
      </c>
      <c r="I1030">
        <v>288.75180920064599</v>
      </c>
      <c r="J1030">
        <v>283.23482230963924</v>
      </c>
      <c r="K1030">
        <v>284.97141905624352</v>
      </c>
      <c r="L1030">
        <v>358.54819643569397</v>
      </c>
    </row>
    <row r="1031" spans="1:12" x14ac:dyDescent="0.25">
      <c r="A1031">
        <v>237.28296830336745</v>
      </c>
      <c r="B1031">
        <v>259.99035055594857</v>
      </c>
      <c r="C1031">
        <v>226.48580971809301</v>
      </c>
      <c r="D1031">
        <v>245.99216127663058</v>
      </c>
      <c r="E1031">
        <v>275.94806307642608</v>
      </c>
      <c r="F1031">
        <v>233.85299837649214</v>
      </c>
      <c r="G1031">
        <v>244.96475220979511</v>
      </c>
      <c r="H1031">
        <v>261.0288402323294</v>
      </c>
      <c r="I1031">
        <v>279.99088956525941</v>
      </c>
      <c r="J1031">
        <v>300.74476744379109</v>
      </c>
      <c r="K1031">
        <v>301.56887835336369</v>
      </c>
      <c r="L1031">
        <v>345.95391981286315</v>
      </c>
    </row>
    <row r="1032" spans="1:12" x14ac:dyDescent="0.25">
      <c r="A1032">
        <v>239.51076582212909</v>
      </c>
      <c r="B1032">
        <v>258.68328233129421</v>
      </c>
      <c r="C1032">
        <v>230.62681181210667</v>
      </c>
      <c r="D1032">
        <v>246.39733398307899</v>
      </c>
      <c r="E1032">
        <v>278.67209405164022</v>
      </c>
      <c r="F1032">
        <v>233.8605728018899</v>
      </c>
      <c r="G1032">
        <v>259.21481106529194</v>
      </c>
      <c r="H1032">
        <v>240.16157179298744</v>
      </c>
      <c r="I1032">
        <v>263.71969127186736</v>
      </c>
      <c r="J1032">
        <v>285.09198000960248</v>
      </c>
      <c r="K1032">
        <v>278.55506760008433</v>
      </c>
      <c r="L1032">
        <v>322.4738951250693</v>
      </c>
    </row>
    <row r="1033" spans="1:12" x14ac:dyDescent="0.25">
      <c r="A1033">
        <v>258.13548960392797</v>
      </c>
      <c r="B1033">
        <v>251.89341482883347</v>
      </c>
      <c r="C1033">
        <v>245.1908038932398</v>
      </c>
      <c r="D1033">
        <v>237.68125194394128</v>
      </c>
      <c r="E1033">
        <v>297.28584681492543</v>
      </c>
      <c r="F1033">
        <v>275.84714651074574</v>
      </c>
      <c r="G1033">
        <v>256.43356713821083</v>
      </c>
      <c r="H1033">
        <v>274.36622110688978</v>
      </c>
      <c r="I1033">
        <v>287.41874082316718</v>
      </c>
      <c r="J1033">
        <v>319.0929574437946</v>
      </c>
      <c r="K1033">
        <v>338.23599866750868</v>
      </c>
      <c r="L1033">
        <v>388.83565843212978</v>
      </c>
    </row>
    <row r="1034" spans="1:12" x14ac:dyDescent="0.25">
      <c r="A1034">
        <v>246.55808432570541</v>
      </c>
      <c r="B1034">
        <v>266.76228142584</v>
      </c>
      <c r="C1034">
        <v>245.58242519019416</v>
      </c>
      <c r="D1034">
        <v>230.14558430127113</v>
      </c>
      <c r="E1034">
        <v>254.1330479836829</v>
      </c>
      <c r="F1034">
        <v>241.18564005819781</v>
      </c>
      <c r="G1034">
        <v>233.49249240076389</v>
      </c>
      <c r="H1034">
        <v>235.90140409505446</v>
      </c>
      <c r="I1034">
        <v>280.2748254504798</v>
      </c>
      <c r="J1034">
        <v>270.45273020245702</v>
      </c>
      <c r="K1034">
        <v>269.52629088552453</v>
      </c>
      <c r="L1034">
        <v>329.6252357836496</v>
      </c>
    </row>
    <row r="1035" spans="1:12" x14ac:dyDescent="0.25">
      <c r="A1035">
        <v>245.15078536831675</v>
      </c>
      <c r="B1035">
        <v>277.04853415391318</v>
      </c>
      <c r="C1035">
        <v>265.28944542694563</v>
      </c>
      <c r="D1035">
        <v>241.31546045503973</v>
      </c>
      <c r="E1035">
        <v>291.35176848735961</v>
      </c>
      <c r="F1035">
        <v>260.15746274631539</v>
      </c>
      <c r="G1035">
        <v>276.74575288100579</v>
      </c>
      <c r="H1035">
        <v>269.64175536213304</v>
      </c>
      <c r="I1035">
        <v>298.70579944397605</v>
      </c>
      <c r="J1035">
        <v>331.39895978785535</v>
      </c>
      <c r="K1035">
        <v>321.24277025163548</v>
      </c>
      <c r="L1035">
        <v>416.62471376505493</v>
      </c>
    </row>
    <row r="1036" spans="1:12" x14ac:dyDescent="0.25">
      <c r="A1036">
        <v>252.74572476040038</v>
      </c>
      <c r="B1036">
        <v>275.14565437893174</v>
      </c>
      <c r="C1036">
        <v>232.87500905827466</v>
      </c>
      <c r="D1036">
        <v>215.47703418147523</v>
      </c>
      <c r="E1036">
        <v>260.44306327293617</v>
      </c>
      <c r="F1036">
        <v>234.168947425043</v>
      </c>
      <c r="G1036">
        <v>230.19055800986371</v>
      </c>
      <c r="H1036">
        <v>224.8408390250965</v>
      </c>
      <c r="I1036">
        <v>248.90483301076321</v>
      </c>
      <c r="J1036">
        <v>259.54330717431316</v>
      </c>
      <c r="K1036">
        <v>265.62663650283946</v>
      </c>
      <c r="L1036">
        <v>312.39693472811308</v>
      </c>
    </row>
    <row r="1037" spans="1:12" x14ac:dyDescent="0.25">
      <c r="A1037">
        <v>233.35074499029994</v>
      </c>
      <c r="B1037">
        <v>237.72829311858743</v>
      </c>
      <c r="C1037">
        <v>218.67947295433837</v>
      </c>
      <c r="D1037">
        <v>228.82199953285411</v>
      </c>
      <c r="E1037">
        <v>255.15517910573638</v>
      </c>
      <c r="F1037">
        <v>212.31663097020845</v>
      </c>
      <c r="G1037">
        <v>220.95771811629461</v>
      </c>
      <c r="H1037">
        <v>238.66514540505403</v>
      </c>
      <c r="I1037">
        <v>233.89848120396334</v>
      </c>
      <c r="J1037">
        <v>234.63569265498808</v>
      </c>
      <c r="K1037">
        <v>232.33216942329275</v>
      </c>
      <c r="L1037">
        <v>278.48435589986093</v>
      </c>
    </row>
    <row r="1038" spans="1:12" x14ac:dyDescent="0.25">
      <c r="A1038">
        <v>245.45740169154982</v>
      </c>
      <c r="B1038">
        <v>252.84609622269207</v>
      </c>
      <c r="C1038">
        <v>243.24107420230814</v>
      </c>
      <c r="D1038">
        <v>236.05778808197036</v>
      </c>
      <c r="E1038">
        <v>271.46201146269743</v>
      </c>
      <c r="F1038">
        <v>254.17452374104545</v>
      </c>
      <c r="G1038">
        <v>241.3522227092553</v>
      </c>
      <c r="H1038">
        <v>260.41133093533927</v>
      </c>
      <c r="I1038">
        <v>289.81979477334318</v>
      </c>
      <c r="J1038">
        <v>300.55714242347443</v>
      </c>
      <c r="K1038">
        <v>302.04691994409353</v>
      </c>
      <c r="L1038">
        <v>367.05906652854014</v>
      </c>
    </row>
    <row r="1039" spans="1:12" x14ac:dyDescent="0.25">
      <c r="A1039">
        <v>246.15520747842524</v>
      </c>
      <c r="B1039">
        <v>259.42875040983756</v>
      </c>
      <c r="C1039">
        <v>233.81480509182165</v>
      </c>
      <c r="D1039">
        <v>231.36384260992281</v>
      </c>
      <c r="E1039">
        <v>246.69322700635468</v>
      </c>
      <c r="F1039">
        <v>248.19040384951612</v>
      </c>
      <c r="G1039">
        <v>244.07870348970312</v>
      </c>
      <c r="H1039">
        <v>239.44839139020442</v>
      </c>
      <c r="I1039">
        <v>255.84323205075259</v>
      </c>
      <c r="J1039">
        <v>268.76237565127155</v>
      </c>
      <c r="K1039">
        <v>271.38895551303148</v>
      </c>
      <c r="L1039">
        <v>329.12735834860723</v>
      </c>
    </row>
    <row r="1040" spans="1:12" x14ac:dyDescent="0.25">
      <c r="A1040">
        <v>249.18060934020298</v>
      </c>
      <c r="B1040">
        <v>265.83764489062662</v>
      </c>
      <c r="C1040">
        <v>226.74387574677206</v>
      </c>
      <c r="D1040">
        <v>226.89372744275244</v>
      </c>
      <c r="E1040">
        <v>276.80735406470723</v>
      </c>
      <c r="F1040">
        <v>233.76951106559304</v>
      </c>
      <c r="G1040">
        <v>241.77060479916264</v>
      </c>
      <c r="H1040">
        <v>260.03027738044779</v>
      </c>
      <c r="I1040">
        <v>278.57849962577211</v>
      </c>
      <c r="J1040">
        <v>299.52147326949239</v>
      </c>
      <c r="K1040">
        <v>290.68082835145361</v>
      </c>
      <c r="L1040">
        <v>370.96860149302364</v>
      </c>
    </row>
    <row r="1041" spans="1:12" x14ac:dyDescent="0.25">
      <c r="A1041">
        <v>234.61903097337699</v>
      </c>
      <c r="B1041">
        <v>248.34218717937691</v>
      </c>
      <c r="C1041">
        <v>233.47187687982139</v>
      </c>
      <c r="D1041">
        <v>235.40628750971473</v>
      </c>
      <c r="E1041">
        <v>276.02228644042407</v>
      </c>
      <c r="F1041">
        <v>227.4724205882157</v>
      </c>
      <c r="G1041">
        <v>245.80644739135019</v>
      </c>
      <c r="H1041">
        <v>237.42910660453981</v>
      </c>
      <c r="I1041">
        <v>255.0039797528708</v>
      </c>
      <c r="J1041">
        <v>270.46704641046432</v>
      </c>
      <c r="K1041">
        <v>277.06164754765422</v>
      </c>
      <c r="L1041">
        <v>305.0466170702428</v>
      </c>
    </row>
    <row r="1042" spans="1:12" x14ac:dyDescent="0.25">
      <c r="A1042">
        <v>244.77168957022164</v>
      </c>
      <c r="B1042">
        <v>247.14707201841287</v>
      </c>
      <c r="C1042">
        <v>228.9735171717241</v>
      </c>
      <c r="D1042">
        <v>222.95053118972734</v>
      </c>
      <c r="E1042">
        <v>260.99055006439852</v>
      </c>
      <c r="F1042">
        <v>231.34844654980563</v>
      </c>
      <c r="G1042">
        <v>250.67469560031003</v>
      </c>
      <c r="H1042">
        <v>237.15568520150785</v>
      </c>
      <c r="I1042">
        <v>273.41585871708651</v>
      </c>
      <c r="J1042">
        <v>256.08297910341042</v>
      </c>
      <c r="K1042">
        <v>288.66338532432934</v>
      </c>
      <c r="L1042">
        <v>313.11283197374235</v>
      </c>
    </row>
    <row r="1043" spans="1:12" x14ac:dyDescent="0.25">
      <c r="A1043">
        <v>251.51261003053003</v>
      </c>
      <c r="B1043">
        <v>287.18850606259775</v>
      </c>
      <c r="C1043">
        <v>250.88630671320095</v>
      </c>
      <c r="D1043">
        <v>268.72301125928692</v>
      </c>
      <c r="E1043">
        <v>288.05803184153046</v>
      </c>
      <c r="F1043">
        <v>294.42863577636507</v>
      </c>
      <c r="G1043">
        <v>267.78478325389256</v>
      </c>
      <c r="H1043">
        <v>298.72751537016438</v>
      </c>
      <c r="I1043">
        <v>321.004221456609</v>
      </c>
      <c r="J1043">
        <v>323.81154212439213</v>
      </c>
      <c r="K1043">
        <v>338.82301106841658</v>
      </c>
      <c r="L1043">
        <v>402.80363790631122</v>
      </c>
    </row>
    <row r="1044" spans="1:12" x14ac:dyDescent="0.25">
      <c r="A1044">
        <v>239.54885975138376</v>
      </c>
      <c r="B1044">
        <v>259.04714496433718</v>
      </c>
      <c r="C1044">
        <v>238.21570380025352</v>
      </c>
      <c r="D1044">
        <v>262.20752549857775</v>
      </c>
      <c r="E1044">
        <v>276.09291033285717</v>
      </c>
      <c r="F1044">
        <v>241.57678823850705</v>
      </c>
      <c r="G1044">
        <v>255.10484978779897</v>
      </c>
      <c r="H1044">
        <v>274.12056255251667</v>
      </c>
      <c r="I1044">
        <v>277.08930014285869</v>
      </c>
      <c r="J1044">
        <v>289.58800151185022</v>
      </c>
      <c r="K1044">
        <v>324.23007459878983</v>
      </c>
      <c r="L1044">
        <v>361.50294088604363</v>
      </c>
    </row>
    <row r="1045" spans="1:12" x14ac:dyDescent="0.25">
      <c r="A1045">
        <v>242.44190704390277</v>
      </c>
      <c r="B1045">
        <v>259.90510574561876</v>
      </c>
      <c r="C1045">
        <v>243.75484456484349</v>
      </c>
      <c r="D1045">
        <v>241.14245636431141</v>
      </c>
      <c r="E1045">
        <v>275.7995060694027</v>
      </c>
      <c r="F1045">
        <v>258.24039357506678</v>
      </c>
      <c r="G1045">
        <v>273.74005951573906</v>
      </c>
      <c r="H1045">
        <v>265.25803675806293</v>
      </c>
      <c r="I1045">
        <v>287.11002573387276</v>
      </c>
      <c r="J1045">
        <v>291.89710859446217</v>
      </c>
      <c r="K1045">
        <v>300.77977382989218</v>
      </c>
      <c r="L1045">
        <v>353.33035223664501</v>
      </c>
    </row>
    <row r="1046" spans="1:12" x14ac:dyDescent="0.25">
      <c r="A1046">
        <v>258.55419338171305</v>
      </c>
      <c r="B1046">
        <v>277.55418159896243</v>
      </c>
      <c r="C1046">
        <v>250.81024712346746</v>
      </c>
      <c r="D1046">
        <v>259.33284183591479</v>
      </c>
      <c r="E1046">
        <v>291.9181081999829</v>
      </c>
      <c r="F1046">
        <v>271.04936390800958</v>
      </c>
      <c r="G1046">
        <v>293.6117703581869</v>
      </c>
      <c r="H1046">
        <v>296.25742947496792</v>
      </c>
      <c r="I1046">
        <v>320.50579647022602</v>
      </c>
      <c r="J1046">
        <v>351.8532597985967</v>
      </c>
      <c r="K1046">
        <v>366.2577528661979</v>
      </c>
      <c r="L1046">
        <v>439.4706113625308</v>
      </c>
    </row>
    <row r="1047" spans="1:12" x14ac:dyDescent="0.25">
      <c r="A1047">
        <v>247.517941377683</v>
      </c>
      <c r="B1047">
        <v>265.38875756667733</v>
      </c>
      <c r="C1047">
        <v>244.87658769468578</v>
      </c>
      <c r="D1047">
        <v>244.7245459833066</v>
      </c>
      <c r="E1047">
        <v>281.36309238117269</v>
      </c>
      <c r="F1047">
        <v>251.61979881128596</v>
      </c>
      <c r="G1047">
        <v>263.39315209952235</v>
      </c>
      <c r="H1047">
        <v>282.05274287035286</v>
      </c>
      <c r="I1047">
        <v>303.49910799825795</v>
      </c>
      <c r="J1047">
        <v>305.99513089885784</v>
      </c>
      <c r="K1047">
        <v>319.22547462839651</v>
      </c>
      <c r="L1047">
        <v>391.7474289016792</v>
      </c>
    </row>
    <row r="1048" spans="1:12" x14ac:dyDescent="0.25">
      <c r="A1048">
        <v>220.18275795301983</v>
      </c>
      <c r="B1048">
        <v>252.80708054270639</v>
      </c>
      <c r="C1048">
        <v>250.78020871739145</v>
      </c>
      <c r="D1048">
        <v>233.60597933751561</v>
      </c>
      <c r="E1048">
        <v>290.66663411809651</v>
      </c>
      <c r="F1048">
        <v>271.45454234549612</v>
      </c>
      <c r="G1048">
        <v>259.16146613586767</v>
      </c>
      <c r="H1048">
        <v>295.3382282947353</v>
      </c>
      <c r="I1048">
        <v>323.47168415317901</v>
      </c>
      <c r="J1048">
        <v>338.85166567892105</v>
      </c>
      <c r="K1048">
        <v>342.52859329080383</v>
      </c>
      <c r="L1048">
        <v>415.26129775453995</v>
      </c>
    </row>
    <row r="1049" spans="1:12" x14ac:dyDescent="0.25">
      <c r="A1049">
        <v>254.42847703383853</v>
      </c>
      <c r="B1049">
        <v>251.95269847600534</v>
      </c>
      <c r="C1049">
        <v>238.95018538324084</v>
      </c>
      <c r="D1049">
        <v>221.08921844666102</v>
      </c>
      <c r="E1049">
        <v>268.94734774085623</v>
      </c>
      <c r="F1049">
        <v>248.69416648185444</v>
      </c>
      <c r="G1049">
        <v>241.82849320713458</v>
      </c>
      <c r="H1049">
        <v>244.08475204375824</v>
      </c>
      <c r="I1049">
        <v>270.09207924930138</v>
      </c>
      <c r="J1049">
        <v>267.45838569367339</v>
      </c>
      <c r="K1049">
        <v>291.04484564818489</v>
      </c>
      <c r="L1049">
        <v>327.45333850762603</v>
      </c>
    </row>
    <row r="1050" spans="1:12" x14ac:dyDescent="0.25">
      <c r="A1050">
        <v>251.77345967291521</v>
      </c>
      <c r="B1050">
        <v>249.62272447173797</v>
      </c>
      <c r="C1050">
        <v>232.2349493480979</v>
      </c>
      <c r="D1050">
        <v>233.96657547836867</v>
      </c>
      <c r="E1050">
        <v>258.08897841950596</v>
      </c>
      <c r="F1050">
        <v>229.50955090985724</v>
      </c>
      <c r="G1050">
        <v>236.50998061172695</v>
      </c>
      <c r="H1050">
        <v>250.45409104925744</v>
      </c>
      <c r="I1050">
        <v>255.04854340159969</v>
      </c>
      <c r="J1050">
        <v>260.3454514372005</v>
      </c>
      <c r="K1050">
        <v>283.82448175951447</v>
      </c>
      <c r="L1050">
        <v>318.19426396428764</v>
      </c>
    </row>
    <row r="1051" spans="1:12" x14ac:dyDescent="0.25">
      <c r="A1051">
        <v>258.88399479402568</v>
      </c>
      <c r="B1051">
        <v>263.66503403950367</v>
      </c>
      <c r="C1051">
        <v>230.23399466238357</v>
      </c>
      <c r="D1051">
        <v>234.11895607146087</v>
      </c>
      <c r="E1051">
        <v>273.32967150594851</v>
      </c>
      <c r="F1051">
        <v>244.07029492678157</v>
      </c>
      <c r="G1051">
        <v>254.67246678278664</v>
      </c>
      <c r="H1051">
        <v>257.56861018758769</v>
      </c>
      <c r="I1051">
        <v>264.48561931220189</v>
      </c>
      <c r="J1051">
        <v>292.04646309240417</v>
      </c>
      <c r="K1051">
        <v>297.6692985669859</v>
      </c>
      <c r="L1051">
        <v>349.83309501611706</v>
      </c>
    </row>
    <row r="1052" spans="1:12" x14ac:dyDescent="0.25">
      <c r="A1052">
        <v>246.12632166586687</v>
      </c>
      <c r="B1052">
        <v>280.88269676624134</v>
      </c>
      <c r="C1052">
        <v>243.928618940181</v>
      </c>
      <c r="D1052">
        <v>240.52910305075159</v>
      </c>
      <c r="E1052">
        <v>296.01149291310429</v>
      </c>
      <c r="F1052">
        <v>245.53239607970056</v>
      </c>
      <c r="G1052">
        <v>268.51889229917003</v>
      </c>
      <c r="H1052">
        <v>295.08804505921654</v>
      </c>
      <c r="I1052">
        <v>294.4738421761233</v>
      </c>
      <c r="J1052">
        <v>318.51328109751182</v>
      </c>
      <c r="K1052">
        <v>321.3428687166159</v>
      </c>
      <c r="L1052">
        <v>379.03059987624283</v>
      </c>
    </row>
    <row r="1053" spans="1:12" x14ac:dyDescent="0.25">
      <c r="A1053">
        <v>227.22086556932035</v>
      </c>
      <c r="B1053">
        <v>241.0213598884749</v>
      </c>
      <c r="C1053">
        <v>218.83911240477298</v>
      </c>
      <c r="D1053">
        <v>229.17284461747454</v>
      </c>
      <c r="E1053">
        <v>271.10432805160519</v>
      </c>
      <c r="F1053">
        <v>246.5025293699556</v>
      </c>
      <c r="G1053">
        <v>243.29006668938652</v>
      </c>
      <c r="H1053">
        <v>267.85224223519782</v>
      </c>
      <c r="I1053">
        <v>274.85364643261522</v>
      </c>
      <c r="J1053">
        <v>308.63409456148594</v>
      </c>
      <c r="K1053">
        <v>299.92877987548133</v>
      </c>
      <c r="L1053">
        <v>363.91000318884403</v>
      </c>
    </row>
    <row r="1054" spans="1:12" x14ac:dyDescent="0.25">
      <c r="A1054">
        <v>249.54260452930581</v>
      </c>
      <c r="B1054">
        <v>255.00652310838092</v>
      </c>
      <c r="C1054">
        <v>230.56025940343798</v>
      </c>
      <c r="D1054">
        <v>238.23842661707357</v>
      </c>
      <c r="E1054">
        <v>281.55207345238506</v>
      </c>
      <c r="F1054">
        <v>246.11095523777325</v>
      </c>
      <c r="G1054">
        <v>227.5876577157712</v>
      </c>
      <c r="H1054">
        <v>249.99717054436189</v>
      </c>
      <c r="I1054">
        <v>266.08832710261225</v>
      </c>
      <c r="J1054">
        <v>277.58618728043126</v>
      </c>
      <c r="K1054">
        <v>291.65533862116473</v>
      </c>
      <c r="L1054">
        <v>333.21921952737137</v>
      </c>
    </row>
    <row r="1055" spans="1:12" x14ac:dyDescent="0.25">
      <c r="A1055">
        <v>250.88774095165107</v>
      </c>
      <c r="B1055">
        <v>267.39245243517325</v>
      </c>
      <c r="C1055">
        <v>258.28549714619521</v>
      </c>
      <c r="D1055">
        <v>243.31641038847135</v>
      </c>
      <c r="E1055">
        <v>283.77536577727238</v>
      </c>
      <c r="F1055">
        <v>249.43993775468368</v>
      </c>
      <c r="G1055">
        <v>268.60356396323414</v>
      </c>
      <c r="H1055">
        <v>266.51527533599256</v>
      </c>
      <c r="I1055">
        <v>307.11569047733877</v>
      </c>
      <c r="J1055">
        <v>308.27451938461314</v>
      </c>
      <c r="K1055">
        <v>327.09638547942922</v>
      </c>
      <c r="L1055">
        <v>383.70954520589083</v>
      </c>
    </row>
    <row r="1056" spans="1:12" x14ac:dyDescent="0.25">
      <c r="A1056">
        <v>254.94035346969741</v>
      </c>
      <c r="B1056">
        <v>265.10627826197288</v>
      </c>
      <c r="C1056">
        <v>266.60265524348944</v>
      </c>
      <c r="D1056">
        <v>242.77923470432162</v>
      </c>
      <c r="E1056">
        <v>307.29140570447589</v>
      </c>
      <c r="F1056">
        <v>273.13699275901661</v>
      </c>
      <c r="G1056">
        <v>281.69498515310875</v>
      </c>
      <c r="H1056">
        <v>286.09740703492133</v>
      </c>
      <c r="I1056">
        <v>312.24491947149221</v>
      </c>
      <c r="J1056">
        <v>338.84856784812428</v>
      </c>
      <c r="K1056">
        <v>354.92206959897425</v>
      </c>
      <c r="L1056">
        <v>404.9115593767367</v>
      </c>
    </row>
    <row r="1057" spans="1:12" x14ac:dyDescent="0.25">
      <c r="A1057">
        <v>241.97944618482509</v>
      </c>
      <c r="B1057">
        <v>255.93543485556415</v>
      </c>
      <c r="C1057">
        <v>233.67992395021287</v>
      </c>
      <c r="D1057">
        <v>238.4560372259931</v>
      </c>
      <c r="E1057">
        <v>288.60768575347856</v>
      </c>
      <c r="F1057">
        <v>245.98032917627737</v>
      </c>
      <c r="G1057">
        <v>264.84006518898997</v>
      </c>
      <c r="H1057">
        <v>255.65284008141106</v>
      </c>
      <c r="I1057">
        <v>277.58909857171972</v>
      </c>
      <c r="J1057">
        <v>288.00625493383035</v>
      </c>
      <c r="K1057">
        <v>308.70844541003908</v>
      </c>
      <c r="L1057">
        <v>360.12608339058465</v>
      </c>
    </row>
    <row r="1058" spans="1:12" x14ac:dyDescent="0.25">
      <c r="A1058">
        <v>226.44061333324487</v>
      </c>
      <c r="B1058">
        <v>257.97560086216998</v>
      </c>
      <c r="C1058">
        <v>245.96003730716424</v>
      </c>
      <c r="D1058">
        <v>246.94506767549873</v>
      </c>
      <c r="E1058">
        <v>286.5016303500156</v>
      </c>
      <c r="F1058">
        <v>227.72025184892419</v>
      </c>
      <c r="G1058">
        <v>265.41082260539383</v>
      </c>
      <c r="H1058">
        <v>264.038246994757</v>
      </c>
      <c r="I1058">
        <v>291.87872993237966</v>
      </c>
      <c r="J1058">
        <v>291.36716420972539</v>
      </c>
      <c r="K1058">
        <v>326.15804327432568</v>
      </c>
      <c r="L1058">
        <v>382.50316109214572</v>
      </c>
    </row>
    <row r="1059" spans="1:12" x14ac:dyDescent="0.25">
      <c r="A1059">
        <v>248.86242616984816</v>
      </c>
      <c r="B1059">
        <v>257.59021400953412</v>
      </c>
      <c r="C1059">
        <v>238.59557145282133</v>
      </c>
      <c r="D1059">
        <v>231.9860330000221</v>
      </c>
      <c r="E1059">
        <v>286.13669604418703</v>
      </c>
      <c r="F1059">
        <v>257.40827307350014</v>
      </c>
      <c r="G1059">
        <v>260.12407690966774</v>
      </c>
      <c r="H1059">
        <v>267.30430543550239</v>
      </c>
      <c r="I1059">
        <v>263.5949087876748</v>
      </c>
      <c r="J1059">
        <v>304.04165981113675</v>
      </c>
      <c r="K1059">
        <v>307.55078478924815</v>
      </c>
      <c r="L1059">
        <v>345.25841561137332</v>
      </c>
    </row>
    <row r="1060" spans="1:12" x14ac:dyDescent="0.25">
      <c r="A1060">
        <v>238.36676035250082</v>
      </c>
      <c r="B1060">
        <v>261.47466658260186</v>
      </c>
      <c r="C1060">
        <v>230.56350350186202</v>
      </c>
      <c r="D1060">
        <v>239.54923328650386</v>
      </c>
      <c r="E1060">
        <v>282.84983933446455</v>
      </c>
      <c r="F1060">
        <v>252.21132354951857</v>
      </c>
      <c r="G1060">
        <v>234.57189883994698</v>
      </c>
      <c r="H1060">
        <v>250.33876295386594</v>
      </c>
      <c r="I1060">
        <v>269.52157324104718</v>
      </c>
      <c r="J1060">
        <v>289.27504430282244</v>
      </c>
      <c r="K1060">
        <v>308.71343080366819</v>
      </c>
      <c r="L1060">
        <v>333.77502821672732</v>
      </c>
    </row>
    <row r="1061" spans="1:12" x14ac:dyDescent="0.25">
      <c r="A1061">
        <v>219.99949041226168</v>
      </c>
      <c r="B1061">
        <v>252.31951260624464</v>
      </c>
      <c r="C1061">
        <v>218.34473246018072</v>
      </c>
      <c r="D1061">
        <v>220.70092973855952</v>
      </c>
      <c r="E1061">
        <v>266.00173257898541</v>
      </c>
      <c r="F1061">
        <v>219.47092881780608</v>
      </c>
      <c r="G1061">
        <v>227.98477331886971</v>
      </c>
      <c r="H1061">
        <v>235.88043572385732</v>
      </c>
      <c r="I1061">
        <v>243.60615408009551</v>
      </c>
      <c r="J1061">
        <v>254.3878505880817</v>
      </c>
      <c r="K1061">
        <v>282.23531066793385</v>
      </c>
      <c r="L1061">
        <v>321.26036767862377</v>
      </c>
    </row>
    <row r="1062" spans="1:12" x14ac:dyDescent="0.25">
      <c r="A1062">
        <v>251.8289376638765</v>
      </c>
      <c r="B1062">
        <v>259.17639824637149</v>
      </c>
      <c r="C1062">
        <v>252.12366222109043</v>
      </c>
      <c r="D1062">
        <v>243.20862031072303</v>
      </c>
      <c r="E1062">
        <v>297.40312313425073</v>
      </c>
      <c r="F1062">
        <v>249.90563553234415</v>
      </c>
      <c r="G1062">
        <v>269.99534622072451</v>
      </c>
      <c r="H1062">
        <v>278.26295658449163</v>
      </c>
      <c r="I1062">
        <v>295.59829322712443</v>
      </c>
      <c r="J1062">
        <v>300.59200792762624</v>
      </c>
      <c r="K1062">
        <v>321.61738599601074</v>
      </c>
      <c r="L1062">
        <v>378.63719178654497</v>
      </c>
    </row>
    <row r="1063" spans="1:12" x14ac:dyDescent="0.25">
      <c r="A1063">
        <v>251.73496698664005</v>
      </c>
      <c r="B1063">
        <v>259.0721018865562</v>
      </c>
      <c r="C1063">
        <v>240.70140971185967</v>
      </c>
      <c r="D1063">
        <v>244.67800404267931</v>
      </c>
      <c r="E1063">
        <v>283.98930034520998</v>
      </c>
      <c r="F1063">
        <v>263.24445722272998</v>
      </c>
      <c r="G1063">
        <v>279.98913528516448</v>
      </c>
      <c r="H1063">
        <v>271.76187948434142</v>
      </c>
      <c r="I1063">
        <v>305.96529205631623</v>
      </c>
      <c r="J1063">
        <v>317.60078434527298</v>
      </c>
      <c r="K1063">
        <v>349.04979198024165</v>
      </c>
      <c r="L1063">
        <v>385.9394714196273</v>
      </c>
    </row>
    <row r="1064" spans="1:12" x14ac:dyDescent="0.25">
      <c r="A1064">
        <v>263.0655907225543</v>
      </c>
      <c r="B1064">
        <v>281.8215269623513</v>
      </c>
      <c r="C1064">
        <v>250.50274397510799</v>
      </c>
      <c r="D1064">
        <v>247.25695052067533</v>
      </c>
      <c r="E1064">
        <v>299.46744875908598</v>
      </c>
      <c r="F1064">
        <v>280.01837828896214</v>
      </c>
      <c r="G1064">
        <v>262.68047481787772</v>
      </c>
      <c r="H1064">
        <v>293.34338175585907</v>
      </c>
      <c r="I1064">
        <v>313.70941238672873</v>
      </c>
      <c r="J1064">
        <v>323.54295093486212</v>
      </c>
      <c r="K1064">
        <v>348.61423681908803</v>
      </c>
      <c r="L1064">
        <v>418.26863465940295</v>
      </c>
    </row>
    <row r="1065" spans="1:12" x14ac:dyDescent="0.25">
      <c r="A1065">
        <v>259.77745440066479</v>
      </c>
      <c r="B1065">
        <v>275.22298810007175</v>
      </c>
      <c r="C1065">
        <v>253.17799335185069</v>
      </c>
      <c r="D1065">
        <v>270.87706370263089</v>
      </c>
      <c r="E1065">
        <v>308.37064017737367</v>
      </c>
      <c r="F1065">
        <v>283.81968878063009</v>
      </c>
      <c r="G1065">
        <v>277.13267470849735</v>
      </c>
      <c r="H1065">
        <v>299.32478670466196</v>
      </c>
      <c r="I1065">
        <v>312.21233782877579</v>
      </c>
      <c r="J1065">
        <v>334.04371728138062</v>
      </c>
      <c r="K1065">
        <v>366.47901363953196</v>
      </c>
      <c r="L1065">
        <v>436.55974318583401</v>
      </c>
    </row>
    <row r="1066" spans="1:12" x14ac:dyDescent="0.25">
      <c r="A1066">
        <v>234.73324789099144</v>
      </c>
      <c r="B1066">
        <v>257.08339146036667</v>
      </c>
      <c r="C1066">
        <v>211.65507977317125</v>
      </c>
      <c r="D1066">
        <v>240.28264064476971</v>
      </c>
      <c r="E1066">
        <v>272.66392084001154</v>
      </c>
      <c r="F1066">
        <v>240.66013437628496</v>
      </c>
      <c r="G1066">
        <v>222.92783050524889</v>
      </c>
      <c r="H1066">
        <v>254.02059911007817</v>
      </c>
      <c r="I1066">
        <v>261.29880259878661</v>
      </c>
      <c r="J1066">
        <v>277.11458316106615</v>
      </c>
      <c r="K1066">
        <v>306.2638311459159</v>
      </c>
      <c r="L1066">
        <v>343.69930589143058</v>
      </c>
    </row>
    <row r="1067" spans="1:12" x14ac:dyDescent="0.25">
      <c r="A1067">
        <v>269.55629591035603</v>
      </c>
      <c r="B1067">
        <v>266.66328058469344</v>
      </c>
      <c r="C1067">
        <v>241.79546957782813</v>
      </c>
      <c r="D1067">
        <v>247.99955311355075</v>
      </c>
      <c r="E1067">
        <v>284.49925484527165</v>
      </c>
      <c r="F1067">
        <v>240.4267468794317</v>
      </c>
      <c r="G1067">
        <v>226.82285040605478</v>
      </c>
      <c r="H1067">
        <v>255.4968522338647</v>
      </c>
      <c r="I1067">
        <v>281.61144923441668</v>
      </c>
      <c r="J1067">
        <v>275.14944142059994</v>
      </c>
      <c r="K1067">
        <v>288.0034775253597</v>
      </c>
      <c r="L1067">
        <v>345.08469320944943</v>
      </c>
    </row>
    <row r="1068" spans="1:12" x14ac:dyDescent="0.25">
      <c r="A1068">
        <v>252.09746745133253</v>
      </c>
      <c r="B1068">
        <v>263.15468435419712</v>
      </c>
      <c r="C1068">
        <v>243.86493937876025</v>
      </c>
      <c r="D1068">
        <v>241.35074895724884</v>
      </c>
      <c r="E1068">
        <v>292.80302306893401</v>
      </c>
      <c r="F1068">
        <v>244.38715752328679</v>
      </c>
      <c r="G1068">
        <v>258.85752635710134</v>
      </c>
      <c r="H1068">
        <v>243.74470478393783</v>
      </c>
      <c r="I1068">
        <v>284.48890500137043</v>
      </c>
      <c r="J1068">
        <v>285.87961755214548</v>
      </c>
      <c r="K1068">
        <v>316.70959836785761</v>
      </c>
      <c r="L1068">
        <v>353.06146657675845</v>
      </c>
    </row>
    <row r="1069" spans="1:12" x14ac:dyDescent="0.25">
      <c r="A1069">
        <v>236.5399470435197</v>
      </c>
      <c r="B1069">
        <v>256.732806558292</v>
      </c>
      <c r="C1069">
        <v>230.7678826270384</v>
      </c>
      <c r="D1069">
        <v>234.78021580040433</v>
      </c>
      <c r="E1069">
        <v>265.04599906837007</v>
      </c>
      <c r="F1069">
        <v>241.6518825024059</v>
      </c>
      <c r="G1069">
        <v>266.01338251794135</v>
      </c>
      <c r="H1069">
        <v>269.8626135471502</v>
      </c>
      <c r="I1069">
        <v>280.52830174877755</v>
      </c>
      <c r="J1069">
        <v>299.90320272716343</v>
      </c>
      <c r="K1069">
        <v>305.00405043013649</v>
      </c>
      <c r="L1069">
        <v>362.80253487196848</v>
      </c>
    </row>
    <row r="1070" spans="1:12" x14ac:dyDescent="0.25">
      <c r="A1070">
        <v>257.52386566604912</v>
      </c>
      <c r="B1070">
        <v>258.29680146726446</v>
      </c>
      <c r="C1070">
        <v>225.69942576209428</v>
      </c>
      <c r="D1070">
        <v>247.13857498486621</v>
      </c>
      <c r="E1070">
        <v>297.79400924695773</v>
      </c>
      <c r="F1070">
        <v>251.17838076126415</v>
      </c>
      <c r="G1070">
        <v>258.40545423713672</v>
      </c>
      <c r="H1070">
        <v>251.33037543494731</v>
      </c>
      <c r="I1070">
        <v>298.06662431511529</v>
      </c>
      <c r="J1070">
        <v>308.46977341170179</v>
      </c>
      <c r="K1070">
        <v>307.75039607190945</v>
      </c>
      <c r="L1070">
        <v>371.29663330349331</v>
      </c>
    </row>
  </sheetData>
  <pageMargins left="0.75" right="0.75" top="1" bottom="1" header="0.5" footer="0.5"/>
  <pageSetup orientation="portrait" horizontalDpi="4294967292" verticalDpi="4294967292"/>
  <ignoredErrors>
    <ignoredError sqref="A66:L67" formulaRang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4"/>
  <sheetViews>
    <sheetView workbookViewId="0"/>
  </sheetViews>
  <sheetFormatPr defaultColWidth="11" defaultRowHeight="15.75" x14ac:dyDescent="0.25"/>
  <sheetData>
    <row r="1" spans="1:12" x14ac:dyDescent="0.25">
      <c r="A1">
        <v>37</v>
      </c>
      <c r="B1">
        <v>38</v>
      </c>
      <c r="C1">
        <v>39</v>
      </c>
      <c r="D1">
        <v>40</v>
      </c>
      <c r="E1">
        <v>41</v>
      </c>
      <c r="F1">
        <v>42</v>
      </c>
      <c r="G1">
        <v>43</v>
      </c>
      <c r="H1">
        <v>44</v>
      </c>
      <c r="I1">
        <v>45</v>
      </c>
      <c r="J1">
        <v>46</v>
      </c>
      <c r="K1">
        <v>47</v>
      </c>
      <c r="L1">
        <v>48</v>
      </c>
    </row>
    <row r="2" spans="1:12" x14ac:dyDescent="0.25">
      <c r="A2">
        <v>263.59245750561206</v>
      </c>
      <c r="B2">
        <v>284.284801306921</v>
      </c>
      <c r="C2">
        <v>264.70011181000552</v>
      </c>
      <c r="D2">
        <v>266.19742620443674</v>
      </c>
      <c r="E2">
        <v>309.37897767414205</v>
      </c>
      <c r="F2">
        <v>279.54575840041991</v>
      </c>
      <c r="G2">
        <v>291.2321275881547</v>
      </c>
      <c r="H2">
        <v>300.17027822551393</v>
      </c>
      <c r="I2">
        <v>326.65430029243771</v>
      </c>
      <c r="J2">
        <v>348.2146780049311</v>
      </c>
      <c r="K2">
        <v>370.74384800556328</v>
      </c>
      <c r="L2">
        <v>436.81685648284679</v>
      </c>
    </row>
    <row r="3" spans="1:12" x14ac:dyDescent="0.25">
      <c r="A3">
        <v>245.39859652803648</v>
      </c>
      <c r="B3">
        <v>263.53954690287514</v>
      </c>
      <c r="C3">
        <v>241.39635845130181</v>
      </c>
      <c r="D3">
        <v>240.89345365596481</v>
      </c>
      <c r="E3">
        <v>280.75679679564001</v>
      </c>
      <c r="F3">
        <v>248.7223000285764</v>
      </c>
      <c r="G3">
        <v>257.47411876968459</v>
      </c>
      <c r="H3">
        <v>263.92323321424914</v>
      </c>
      <c r="I3">
        <v>286.69986683651626</v>
      </c>
      <c r="J3">
        <v>300.03619570121651</v>
      </c>
      <c r="K3">
        <v>314.90561565873446</v>
      </c>
      <c r="L3">
        <v>368.04268671624834</v>
      </c>
    </row>
    <row r="4" spans="1:12" x14ac:dyDescent="0.25">
      <c r="A4">
        <v>223.96016591362732</v>
      </c>
      <c r="B4">
        <v>240.79282637587986</v>
      </c>
      <c r="C4">
        <v>218.67648164320588</v>
      </c>
      <c r="D4">
        <v>216.81984892572046</v>
      </c>
      <c r="E4">
        <v>251.66146193030249</v>
      </c>
      <c r="F4">
        <v>220.2130080085208</v>
      </c>
      <c r="G4">
        <v>224.33027669983619</v>
      </c>
      <c r="H4">
        <v>230.7294852765398</v>
      </c>
      <c r="I4">
        <v>243.52656472343065</v>
      </c>
      <c r="J4">
        <v>254.12894070199349</v>
      </c>
      <c r="K4">
        <v>263.29319999064705</v>
      </c>
      <c r="L4">
        <v>302.76810484369963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Timeseries</vt:lpstr>
      <vt:lpstr>SES</vt:lpstr>
      <vt:lpstr>Holt'sTrend-Corrected</vt:lpstr>
      <vt:lpstr>Holt's Autocorrelation</vt:lpstr>
      <vt:lpstr>HoltWintersInitial</vt:lpstr>
      <vt:lpstr>HoltWintersSeasonal</vt:lpstr>
      <vt:lpstr>HW Autocorrelation</vt:lpstr>
      <vt:lpstr>PredictionIntervals</vt:lpstr>
      <vt:lpstr>Fan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Rick</cp:lastModifiedBy>
  <dcterms:created xsi:type="dcterms:W3CDTF">2013-04-01T16:41:05Z</dcterms:created>
  <dcterms:modified xsi:type="dcterms:W3CDTF">2019-07-08T01:10:57Z</dcterms:modified>
</cp:coreProperties>
</file>