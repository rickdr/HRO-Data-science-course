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school\HRO\INFDAT01-2\Prediction\Forecasting\"/>
    </mc:Choice>
  </mc:AlternateContent>
  <xr:revisionPtr revIDLastSave="0" documentId="13_ncr:1_{B0F046CA-B50E-4191-8677-649F3B159AC3}" xr6:coauthVersionLast="43" xr6:coauthVersionMax="43" xr10:uidLastSave="{00000000-0000-0000-0000-000000000000}"/>
  <bookViews>
    <workbookView xWindow="-120" yWindow="-120" windowWidth="29040" windowHeight="15840" tabRatio="953" activeTab="2" xr2:uid="{00000000-000D-0000-FFFF-FFFF00000000}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4" i="6" s="1"/>
  <c r="H5" i="6" s="1"/>
  <c r="I6" i="6" s="1"/>
  <c r="J7" i="6" s="1"/>
  <c r="K8" i="6" s="1"/>
  <c r="L9" i="6" s="1"/>
  <c r="M10" i="6" s="1"/>
  <c r="N11" i="6" s="1"/>
  <c r="O12" i="6" s="1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N6" i="6" s="1"/>
  <c r="O7" i="6" s="1"/>
  <c r="L3" i="6"/>
  <c r="M4" i="6" s="1"/>
  <c r="N5" i="6" s="1"/>
  <c r="O6" i="6" s="1"/>
  <c r="M3" i="6"/>
  <c r="N4" i="6" s="1"/>
  <c r="O5" i="6" s="1"/>
  <c r="N3" i="6"/>
  <c r="O4" i="6" s="1"/>
  <c r="O3" i="6"/>
  <c r="I4" i="6"/>
  <c r="J5" i="6" s="1"/>
  <c r="K6" i="6" s="1"/>
  <c r="L7" i="6" s="1"/>
  <c r="M8" i="6" s="1"/>
  <c r="N9" i="6" s="1"/>
  <c r="O10" i="6" s="1"/>
  <c r="K4" i="6"/>
  <c r="L5" i="6"/>
  <c r="M6" i="6" s="1"/>
  <c r="N7" i="6" s="1"/>
  <c r="O8" i="6"/>
  <c r="E19" i="6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7" i="6"/>
  <c r="D18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32" i="6"/>
  <c r="D33" i="6" s="1"/>
  <c r="E34" i="6" s="1"/>
  <c r="F35" i="6" s="1"/>
  <c r="G36" i="6" s="1"/>
  <c r="H37" i="6" s="1"/>
  <c r="C33" i="6"/>
  <c r="D34" i="6" s="1"/>
  <c r="E35" i="6" s="1"/>
  <c r="F36" i="6" s="1"/>
  <c r="G37" i="6" s="1"/>
  <c r="C35" i="6"/>
  <c r="D36" i="6" s="1"/>
  <c r="E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5" i="18" s="1"/>
  <c r="C23" i="18"/>
  <c r="O35" i="18" s="1"/>
  <c r="O14" i="18"/>
  <c r="O13" i="18"/>
  <c r="N13" i="18"/>
  <c r="O12" i="18"/>
  <c r="N12" i="18"/>
  <c r="M12" i="18"/>
  <c r="O11" i="18"/>
  <c r="N11" i="18"/>
  <c r="M11" i="18"/>
  <c r="L11" i="18"/>
  <c r="O10" i="18"/>
  <c r="N10" i="18"/>
  <c r="M10" i="18"/>
  <c r="L10" i="18"/>
  <c r="K10" i="18"/>
  <c r="O9" i="18"/>
  <c r="N9" i="18"/>
  <c r="M9" i="18"/>
  <c r="L9" i="18"/>
  <c r="K9" i="18"/>
  <c r="J9" i="18"/>
  <c r="O8" i="18"/>
  <c r="N8" i="18"/>
  <c r="M8" i="18"/>
  <c r="L8" i="18"/>
  <c r="K8" i="18"/>
  <c r="J8" i="18"/>
  <c r="I8" i="18"/>
  <c r="O7" i="18"/>
  <c r="N7" i="18"/>
  <c r="M7" i="18"/>
  <c r="L7" i="18"/>
  <c r="K7" i="18"/>
  <c r="J7" i="18"/>
  <c r="I7" i="18"/>
  <c r="H7" i="18"/>
  <c r="O6" i="18"/>
  <c r="N6" i="18"/>
  <c r="M6" i="18"/>
  <c r="L6" i="18"/>
  <c r="K6" i="18"/>
  <c r="J6" i="18"/>
  <c r="I6" i="18"/>
  <c r="H6" i="18"/>
  <c r="G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 s="1"/>
  <c r="C27" i="13"/>
  <c r="D27" i="13" s="1"/>
  <c r="C16" i="13"/>
  <c r="D16" i="13" s="1"/>
  <c r="C28" i="13"/>
  <c r="D28" i="13" s="1"/>
  <c r="C17" i="13"/>
  <c r="D17" i="13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/>
  <c r="E8" i="13"/>
  <c r="F8" i="13" s="1"/>
  <c r="C9" i="13"/>
  <c r="D9" i="13" s="1"/>
  <c r="E9" i="13" s="1"/>
  <c r="F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/>
  <c r="E6" i="3" s="1"/>
  <c r="F6" i="3" s="1"/>
  <c r="C7" i="18" l="1"/>
  <c r="C14" i="18"/>
  <c r="C6" i="18"/>
  <c r="G27" i="18"/>
  <c r="E4" i="13"/>
  <c r="F4" i="13" s="1"/>
  <c r="C2" i="18"/>
  <c r="K31" i="18"/>
  <c r="E13" i="13"/>
  <c r="F13" i="13" s="1"/>
  <c r="C19" i="18"/>
  <c r="C3" i="18"/>
  <c r="C10" i="18"/>
  <c r="L19" i="18" s="1"/>
  <c r="K23" i="18"/>
  <c r="G19" i="18"/>
  <c r="O27" i="18"/>
  <c r="E7" i="13"/>
  <c r="F7" i="13" s="1"/>
  <c r="E3" i="13"/>
  <c r="F3" i="13" s="1"/>
  <c r="F10" i="18"/>
  <c r="L15" i="18"/>
  <c r="O19" i="18"/>
  <c r="C11" i="18"/>
  <c r="C18" i="18"/>
  <c r="L27" i="18" s="1"/>
  <c r="C34" i="6"/>
  <c r="D35" i="6" s="1"/>
  <c r="E36" i="6" s="1"/>
  <c r="F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2" i="6"/>
  <c r="I25" i="18"/>
  <c r="C31" i="6"/>
  <c r="D32" i="6" s="1"/>
  <c r="E33" i="6" s="1"/>
  <c r="F34" i="6" s="1"/>
  <c r="G35" i="6" s="1"/>
  <c r="H36" i="6" s="1"/>
  <c r="I37" i="6" s="1"/>
  <c r="C15" i="6"/>
  <c r="D16" i="6" s="1"/>
  <c r="E17" i="6" s="1"/>
  <c r="C7" i="6"/>
  <c r="D8" i="6" s="1"/>
  <c r="E9" i="6" s="1"/>
  <c r="F10" i="6" s="1"/>
  <c r="G11" i="6" s="1"/>
  <c r="H12" i="6" s="1"/>
  <c r="I13" i="6" s="1"/>
  <c r="C30" i="6"/>
  <c r="D31" i="6" s="1"/>
  <c r="E32" i="6" s="1"/>
  <c r="F33" i="6" s="1"/>
  <c r="G34" i="6" s="1"/>
  <c r="H35" i="6" s="1"/>
  <c r="I36" i="6" s="1"/>
  <c r="J3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E5" i="13"/>
  <c r="F5" i="13" s="1"/>
  <c r="H12" i="18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9" i="6"/>
  <c r="D30" i="6" s="1"/>
  <c r="E31" i="6" s="1"/>
  <c r="F32" i="6" s="1"/>
  <c r="G33" i="6" s="1"/>
  <c r="H34" i="6" s="1"/>
  <c r="I35" i="6" s="1"/>
  <c r="J36" i="6" s="1"/>
  <c r="K37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36" i="6"/>
  <c r="D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F18" i="6"/>
  <c r="J14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M28" i="18"/>
  <c r="K26" i="18"/>
  <c r="I24" i="18"/>
  <c r="C17" i="11"/>
  <c r="E17" i="11"/>
  <c r="D17" i="11"/>
  <c r="H17" i="11"/>
  <c r="C6" i="3"/>
  <c r="O30" i="18" l="1"/>
  <c r="E8" i="18"/>
  <c r="I12" i="18"/>
  <c r="H11" i="18"/>
  <c r="N17" i="18"/>
  <c r="D7" i="18"/>
  <c r="F21" i="18"/>
  <c r="D19" i="18"/>
  <c r="O15" i="18"/>
  <c r="F6" i="18"/>
  <c r="J10" i="18"/>
  <c r="I9" i="18"/>
  <c r="H8" i="18"/>
  <c r="D15" i="18"/>
  <c r="J21" i="18"/>
  <c r="H19" i="18"/>
  <c r="F17" i="18"/>
  <c r="N25" i="18"/>
  <c r="L23" i="18"/>
  <c r="H23" i="18"/>
  <c r="E20" i="18"/>
  <c r="G22" i="18"/>
  <c r="F9" i="18"/>
  <c r="O31" i="18"/>
  <c r="E21" i="18"/>
  <c r="M29" i="18"/>
  <c r="D8" i="18"/>
  <c r="K15" i="18"/>
  <c r="E9" i="18"/>
  <c r="I13" i="18"/>
  <c r="D3" i="6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38" i="6"/>
  <c r="O23" i="18"/>
  <c r="M21" i="18"/>
  <c r="I17" i="18"/>
  <c r="F18" i="7"/>
  <c r="G18" i="7" s="1"/>
  <c r="D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 l="1"/>
  <c r="F40" i="6" s="1"/>
  <c r="C18" i="7"/>
  <c r="E38" i="6"/>
  <c r="E40" i="6" s="1"/>
  <c r="D38" i="6"/>
  <c r="D40" i="6" s="1"/>
  <c r="J38" i="18"/>
  <c r="J40" i="18" s="1"/>
  <c r="C7" i="5"/>
  <c r="F38" i="18"/>
  <c r="F40" i="18" s="1"/>
  <c r="M38" i="18"/>
  <c r="M40" i="18" s="1"/>
  <c r="D7" i="5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L16" i="6"/>
  <c r="F19" i="7"/>
  <c r="G19" i="7" s="1"/>
  <c r="C19" i="7" s="1"/>
  <c r="H18" i="11"/>
  <c r="E18" i="11"/>
  <c r="E18" i="7"/>
  <c r="H18" i="7"/>
  <c r="D18" i="11"/>
  <c r="E8" i="5" l="1"/>
  <c r="F8" i="5" s="1"/>
  <c r="G8" i="5" s="1"/>
  <c r="D8" i="5"/>
  <c r="D19" i="7"/>
  <c r="F20" i="7" s="1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G9" i="5" l="1"/>
  <c r="D9" i="5"/>
  <c r="E10" i="5" s="1"/>
  <c r="F10" i="5" s="1"/>
  <c r="G10" i="5" s="1"/>
  <c r="K23" i="6"/>
  <c r="J38" i="6"/>
  <c r="J40" i="6" s="1"/>
  <c r="F21" i="7"/>
  <c r="G21" i="7" s="1"/>
  <c r="D9" i="3"/>
  <c r="E9" i="3" s="1"/>
  <c r="F9" i="3" s="1"/>
  <c r="O19" i="6"/>
  <c r="F20" i="11"/>
  <c r="G20" i="11" s="1"/>
  <c r="D20" i="11" s="1"/>
  <c r="C9" i="3" l="1"/>
  <c r="C20" i="11"/>
  <c r="E21" i="7"/>
  <c r="H21" i="7"/>
  <c r="D21" i="7"/>
  <c r="C21" i="7"/>
  <c r="D10" i="5"/>
  <c r="F21" i="11"/>
  <c r="G21" i="11" s="1"/>
  <c r="D10" i="3"/>
  <c r="E10" i="3" s="1"/>
  <c r="F10" i="3" s="1"/>
  <c r="H20" i="11"/>
  <c r="E20" i="11"/>
  <c r="L24" i="6"/>
  <c r="K38" i="6"/>
  <c r="K40" i="6" s="1"/>
  <c r="C10" i="5"/>
  <c r="C10" i="3" l="1"/>
  <c r="H21" i="11"/>
  <c r="E21" i="11"/>
  <c r="D11" i="3"/>
  <c r="E11" i="3" s="1"/>
  <c r="F11" i="3" s="1"/>
  <c r="M25" i="6"/>
  <c r="L38" i="6"/>
  <c r="L40" i="6" s="1"/>
  <c r="F22" i="7"/>
  <c r="G22" i="7" s="1"/>
  <c r="D22" i="7" s="1"/>
  <c r="E11" i="5"/>
  <c r="F11" i="5" s="1"/>
  <c r="G11" i="5" s="1"/>
  <c r="C21" i="11"/>
  <c r="D21" i="11"/>
  <c r="C11" i="3" l="1"/>
  <c r="D12" i="3" s="1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F23" i="7"/>
  <c r="G23" i="7" s="1"/>
  <c r="C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24" i="7"/>
  <c r="H24" i="7"/>
  <c r="F24" i="11"/>
  <c r="G24" i="11" s="1"/>
  <c r="D14" i="3"/>
  <c r="E14" i="3" s="1"/>
  <c r="F14" i="3" s="1"/>
  <c r="D24" i="7"/>
  <c r="E14" i="5" l="1"/>
  <c r="F14" i="5" s="1"/>
  <c r="G14" i="5" s="1"/>
  <c r="H24" i="11"/>
  <c r="E24" i="11"/>
  <c r="D14" i="5"/>
  <c r="C24" i="11"/>
  <c r="D24" i="11"/>
  <c r="F25" i="7"/>
  <c r="G25" i="7" s="1"/>
  <c r="C25" i="7" s="1"/>
  <c r="C14" i="3"/>
  <c r="C14" i="5"/>
  <c r="E25" i="7" l="1"/>
  <c r="H25" i="7"/>
  <c r="F25" i="11"/>
  <c r="G25" i="11" s="1"/>
  <c r="C25" i="11" s="1"/>
  <c r="E15" i="5"/>
  <c r="F15" i="5" s="1"/>
  <c r="G15" i="5" s="1"/>
  <c r="D25" i="7"/>
  <c r="D15" i="3"/>
  <c r="E15" i="3" s="1"/>
  <c r="F15" i="3" s="1"/>
  <c r="C15" i="3"/>
  <c r="D25" i="11" l="1"/>
  <c r="D15" i="5"/>
  <c r="D16" i="3"/>
  <c r="E16" i="3" s="1"/>
  <c r="F16" i="3" s="1"/>
  <c r="C15" i="5"/>
  <c r="F26" i="11"/>
  <c r="G26" i="11" s="1"/>
  <c r="D26" i="11" s="1"/>
  <c r="F26" i="7"/>
  <c r="G26" i="7" s="1"/>
  <c r="E25" i="11"/>
  <c r="H25" i="11"/>
  <c r="C16" i="3" l="1"/>
  <c r="C26" i="11"/>
  <c r="F27" i="11" s="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F27" i="7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 s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C29" i="11"/>
  <c r="C20" i="3"/>
  <c r="E19" i="5" l="1"/>
  <c r="F19" i="5" s="1"/>
  <c r="G19" i="5" s="1"/>
  <c r="F30" i="7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C19" i="5"/>
  <c r="E20" i="5" s="1"/>
  <c r="F20" i="5" s="1"/>
  <c r="D20" i="5" s="1"/>
  <c r="F31" i="11"/>
  <c r="G31" i="11" s="1"/>
  <c r="C31" i="11" s="1"/>
  <c r="C21" i="3"/>
  <c r="H30" i="7"/>
  <c r="E30" i="7"/>
  <c r="H30" i="11"/>
  <c r="E30" i="11"/>
  <c r="D30" i="7"/>
  <c r="F31" i="7" s="1"/>
  <c r="G31" i="7" s="1"/>
  <c r="H31" i="7" l="1"/>
  <c r="E31" i="7"/>
  <c r="D22" i="3"/>
  <c r="E22" i="3" s="1"/>
  <c r="F22" i="3" s="1"/>
  <c r="C31" i="7"/>
  <c r="D31" i="7"/>
  <c r="G20" i="5"/>
  <c r="C20" i="5"/>
  <c r="H31" i="11"/>
  <c r="E31" i="11"/>
  <c r="D31" i="11"/>
  <c r="C22" i="3" l="1"/>
  <c r="F32" i="7"/>
  <c r="G32" i="7" s="1"/>
  <c r="D32" i="7" s="1"/>
  <c r="F32" i="11"/>
  <c r="G32" i="11" s="1"/>
  <c r="C32" i="11" s="1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F33" i="7"/>
  <c r="G33" i="7" s="1"/>
  <c r="C33" i="7" s="1"/>
  <c r="C22" i="5"/>
  <c r="D33" i="11"/>
  <c r="D24" i="3"/>
  <c r="E24" i="3" s="1"/>
  <c r="F24" i="3" s="1"/>
  <c r="C24" i="3"/>
  <c r="E22" i="5"/>
  <c r="F22" i="5" s="1"/>
  <c r="G22" i="5" s="1"/>
  <c r="D22" i="5" l="1"/>
  <c r="E23" i="5" s="1"/>
  <c r="F23" i="5" s="1"/>
  <c r="G23" i="5" s="1"/>
  <c r="D25" i="3"/>
  <c r="E25" i="3" s="1"/>
  <c r="F25" i="3" s="1"/>
  <c r="C25" i="3"/>
  <c r="F34" i="11"/>
  <c r="G34" i="11" s="1"/>
  <c r="C34" i="11" s="1"/>
  <c r="H33" i="7"/>
  <c r="E33" i="7"/>
  <c r="D33" i="7"/>
  <c r="D23" i="5" l="1"/>
  <c r="D34" i="11"/>
  <c r="F35" i="11" s="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E25" i="5" s="1"/>
  <c r="F25" i="5" s="1"/>
  <c r="G25" i="5" s="1"/>
  <c r="F36" i="11"/>
  <c r="G36" i="11" s="1"/>
  <c r="D36" i="11" s="1"/>
  <c r="F35" i="7"/>
  <c r="G35" i="7" s="1"/>
  <c r="C35" i="7" s="1"/>
  <c r="C27" i="3"/>
  <c r="C36" i="11" l="1"/>
  <c r="F37" i="11"/>
  <c r="G37" i="11" s="1"/>
  <c r="D25" i="5"/>
  <c r="D28" i="3"/>
  <c r="E28" i="3" s="1"/>
  <c r="F28" i="3" s="1"/>
  <c r="H35" i="7"/>
  <c r="E35" i="7"/>
  <c r="D35" i="7"/>
  <c r="C25" i="5"/>
  <c r="H36" i="11"/>
  <c r="E36" i="11"/>
  <c r="C28" i="3" l="1"/>
  <c r="H37" i="1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C26" i="5" l="1"/>
  <c r="D26" i="5"/>
  <c r="F38" i="11"/>
  <c r="G38" i="11" s="1"/>
  <c r="D38" i="11" s="1"/>
  <c r="C29" i="3"/>
  <c r="H36" i="7"/>
  <c r="E36" i="7"/>
  <c r="C36" i="7"/>
  <c r="E27" i="5" l="1"/>
  <c r="F27" i="5" s="1"/>
  <c r="G27" i="5" s="1"/>
  <c r="H38" i="11"/>
  <c r="E38" i="11"/>
  <c r="F37" i="7"/>
  <c r="G37" i="7" s="1"/>
  <c r="C37" i="7" s="1"/>
  <c r="D27" i="5"/>
  <c r="C38" i="11"/>
  <c r="D30" i="3"/>
  <c r="E30" i="3" s="1"/>
  <c r="F30" i="3" s="1"/>
  <c r="C27" i="5" l="1"/>
  <c r="E28" i="5" s="1"/>
  <c r="F28" i="5" s="1"/>
  <c r="G28" i="5" s="1"/>
  <c r="C30" i="3"/>
  <c r="F39" i="11"/>
  <c r="G39" i="11" s="1"/>
  <c r="C39" i="11" s="1"/>
  <c r="H37" i="7"/>
  <c r="E37" i="7"/>
  <c r="D37" i="7"/>
  <c r="D28" i="5" l="1"/>
  <c r="C28" i="5"/>
  <c r="F38" i="7"/>
  <c r="G38" i="7" s="1"/>
  <c r="D38" i="7" s="1"/>
  <c r="D31" i="3"/>
  <c r="E31" i="3" s="1"/>
  <c r="F31" i="3" s="1"/>
  <c r="H39" i="11"/>
  <c r="E39" i="11"/>
  <c r="D39" i="11"/>
  <c r="E29" i="5" l="1"/>
  <c r="F29" i="5" s="1"/>
  <c r="G29" i="5" s="1"/>
  <c r="C31" i="3"/>
  <c r="D29" i="5"/>
  <c r="C29" i="5"/>
  <c r="H38" i="7"/>
  <c r="E38" i="7"/>
  <c r="C38" i="7"/>
  <c r="D32" i="3"/>
  <c r="E32" i="3" s="1"/>
  <c r="F32" i="3" s="1"/>
  <c r="F40" i="11"/>
  <c r="G40" i="11" s="1"/>
  <c r="D40" i="11" s="1"/>
  <c r="E30" i="5" l="1"/>
  <c r="F30" i="5" s="1"/>
  <c r="G30" i="5" s="1"/>
  <c r="D30" i="5"/>
  <c r="F39" i="7"/>
  <c r="G39" i="7" s="1"/>
  <c r="H40" i="11"/>
  <c r="E40" i="11"/>
  <c r="C32" i="3"/>
  <c r="C40" i="11"/>
  <c r="C30" i="5" l="1"/>
  <c r="E31" i="5" s="1"/>
  <c r="F31" i="5" s="1"/>
  <c r="F41" i="11"/>
  <c r="G41" i="11" s="1"/>
  <c r="H39" i="7"/>
  <c r="E39" i="7"/>
  <c r="D39" i="7"/>
  <c r="D33" i="3"/>
  <c r="E33" i="3" s="1"/>
  <c r="F33" i="3" s="1"/>
  <c r="C39" i="7"/>
  <c r="G31" i="5" l="1"/>
  <c r="D31" i="5"/>
  <c r="C31" i="5"/>
  <c r="C33" i="3"/>
  <c r="D34" i="3" s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C32" i="5"/>
  <c r="D42" i="11" l="1"/>
  <c r="D35" i="3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H41" i="7"/>
  <c r="E41" i="7"/>
  <c r="D41" i="7"/>
  <c r="D43" i="11"/>
  <c r="C41" i="7"/>
  <c r="E34" i="5" l="1"/>
  <c r="F34" i="5" s="1"/>
  <c r="G34" i="5" s="1"/>
  <c r="F44" i="11"/>
  <c r="G44" i="11" s="1"/>
  <c r="F42" i="7"/>
  <c r="G42" i="7" s="1"/>
  <c r="C42" i="7" s="1"/>
  <c r="C36" i="3"/>
  <c r="D34" i="5"/>
  <c r="C34" i="5" l="1"/>
  <c r="E35" i="5" s="1"/>
  <c r="F35" i="5" s="1"/>
  <c r="H42" i="7"/>
  <c r="E42" i="7"/>
  <c r="H44" i="11"/>
  <c r="E44" i="11"/>
  <c r="D37" i="3"/>
  <c r="E37" i="3" s="1"/>
  <c r="F37" i="3" s="1"/>
  <c r="D44" i="11"/>
  <c r="C44" i="11"/>
  <c r="D42" i="7"/>
  <c r="F43" i="7" s="1"/>
  <c r="G43" i="7" s="1"/>
  <c r="C37" i="3" l="1"/>
  <c r="G35" i="5"/>
  <c r="C35" i="5"/>
  <c r="F45" i="11"/>
  <c r="G45" i="11" s="1"/>
  <c r="D45" i="11" s="1"/>
  <c r="D35" i="5"/>
  <c r="D38" i="3"/>
  <c r="E38" i="3" s="1"/>
  <c r="F38" i="3" s="1"/>
  <c r="H43" i="7"/>
  <c r="E43" i="7"/>
  <c r="D43" i="7"/>
  <c r="C43" i="7"/>
  <c r="C45" i="11" l="1"/>
  <c r="E36" i="5"/>
  <c r="F36" i="5" s="1"/>
  <c r="G36" i="5" s="1"/>
  <c r="F46" i="11"/>
  <c r="G46" i="11" s="1"/>
  <c r="C46" i="11" s="1"/>
  <c r="F44" i="7"/>
  <c r="G44" i="7" s="1"/>
  <c r="C38" i="3"/>
  <c r="H45" i="11"/>
  <c r="E45" i="11"/>
  <c r="C36" i="5" l="1"/>
  <c r="H44" i="7"/>
  <c r="E44" i="7"/>
  <c r="D39" i="3"/>
  <c r="E39" i="3" s="1"/>
  <c r="F39" i="3" s="1"/>
  <c r="D36" i="5"/>
  <c r="H46" i="11"/>
  <c r="E46" i="11"/>
  <c r="C44" i="7"/>
  <c r="D46" i="11"/>
  <c r="D44" i="7"/>
  <c r="C39" i="3" l="1"/>
  <c r="E37" i="5"/>
  <c r="F37" i="5" s="1"/>
  <c r="G37" i="5" s="1"/>
  <c r="D40" i="3"/>
  <c r="E40" i="3" s="1"/>
  <c r="F40" i="3" s="1"/>
  <c r="F47" i="11"/>
  <c r="G47" i="11" s="1"/>
  <c r="D47" i="11" s="1"/>
  <c r="F45" i="7"/>
  <c r="G45" i="7" s="1"/>
  <c r="C45" i="7" s="1"/>
  <c r="D37" i="5"/>
  <c r="C47" i="11"/>
  <c r="C37" i="5" l="1"/>
  <c r="F48" i="11"/>
  <c r="G48" i="11" s="1"/>
  <c r="C48" i="11" s="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F50" i="7"/>
  <c r="G50" i="7" s="1"/>
  <c r="C50" i="7" s="1"/>
  <c r="H51" i="11"/>
  <c r="E51" i="11"/>
  <c r="C51" i="11"/>
  <c r="D51" i="11"/>
  <c r="B45" i="5" l="1"/>
  <c r="B42" i="5"/>
  <c r="B43" i="5"/>
  <c r="B44" i="5"/>
  <c r="B51" i="5"/>
  <c r="B47" i="5"/>
  <c r="B46" i="5"/>
  <c r="B53" i="5"/>
  <c r="B50" i="5"/>
  <c r="B48" i="5"/>
  <c r="B52" i="5"/>
  <c r="B49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<sst xmlns="http://schemas.openxmlformats.org/spreadsheetml/2006/main" count="77" uniqueCount="34">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</sst>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9-4DE3-B16E-B735067CE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8112"/>
        <c:axId val="926958656"/>
      </c:scatterChart>
      <c:valAx>
        <c:axId val="926958112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8656"/>
        <c:crosses val="autoZero"/>
        <c:crossBetween val="midCat"/>
        <c:majorUnit val="6"/>
      </c:valAx>
      <c:valAx>
        <c:axId val="926958656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8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0-41CA-A68C-731B811A54EF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0-41CA-A68C-731B811A5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3760"/>
        <c:axId val="926959744"/>
      </c:scatterChart>
      <c:valAx>
        <c:axId val="926953760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9744"/>
        <c:crosses val="autoZero"/>
        <c:crossBetween val="midCat"/>
        <c:majorUnit val="6"/>
      </c:valAx>
      <c:valAx>
        <c:axId val="926959744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67-4F0B-BCD5-68AAFA499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2672"/>
        <c:axId val="926953216"/>
      </c:scatterChart>
      <c:valAx>
        <c:axId val="926952672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216"/>
        <c:crosses val="autoZero"/>
        <c:crossBetween val="midCat"/>
        <c:majorUnit val="3"/>
      </c:valAx>
      <c:valAx>
        <c:axId val="926953216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2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0-4407-ACF0-1F412BF5EA90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246.91641508680877</c:v>
                </c:pt>
                <c:pt idx="1">
                  <c:v>254.66331977288132</c:v>
                </c:pt>
                <c:pt idx="2">
                  <c:v>262.41022445895391</c:v>
                </c:pt>
                <c:pt idx="3">
                  <c:v>270.15712914502643</c:v>
                </c:pt>
                <c:pt idx="4">
                  <c:v>277.90403383109901</c:v>
                </c:pt>
                <c:pt idx="5">
                  <c:v>285.65093851717154</c:v>
                </c:pt>
                <c:pt idx="6">
                  <c:v>293.39784320324412</c:v>
                </c:pt>
                <c:pt idx="7">
                  <c:v>301.1447478893167</c:v>
                </c:pt>
                <c:pt idx="8">
                  <c:v>308.89165257538923</c:v>
                </c:pt>
                <c:pt idx="9">
                  <c:v>316.63855726146181</c:v>
                </c:pt>
                <c:pt idx="10">
                  <c:v>324.3854619475344</c:v>
                </c:pt>
                <c:pt idx="11">
                  <c:v>332.13236663360692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0-4407-ACF0-1F412BF5E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22736"/>
        <c:axId val="998522192"/>
      </c:scatterChart>
      <c:valAx>
        <c:axId val="998522736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192"/>
        <c:crosses val="autoZero"/>
        <c:crossBetween val="midCat"/>
        <c:majorUnit val="6"/>
      </c:valAx>
      <c:valAx>
        <c:axId val="99852219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7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4-42AD-8305-15DDD21B4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998519472"/>
        <c:axId val="99851784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34-42AD-8305-15DDD21B4BEA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34-42AD-8305-15DDD21B4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19472"/>
        <c:axId val="998517840"/>
      </c:lineChart>
      <c:catAx>
        <c:axId val="998519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998517840"/>
        <c:crosses val="autoZero"/>
        <c:auto val="1"/>
        <c:lblAlgn val="ctr"/>
        <c:lblOffset val="100"/>
        <c:noMultiLvlLbl val="0"/>
      </c:catAx>
      <c:valAx>
        <c:axId val="99851784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194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3-4877-81DB-B807FA903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4144"/>
        <c:axId val="991046864"/>
      </c:scatterChart>
      <c:valAx>
        <c:axId val="991044144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991046864"/>
        <c:crosses val="autoZero"/>
        <c:crossBetween val="midCat"/>
        <c:majorUnit val="6"/>
      </c:valAx>
      <c:valAx>
        <c:axId val="991046864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991044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7-41AC-B5D7-901A8DAE5829}"/>
            </c:ext>
          </c:extLst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77-41AC-B5D7-901A8DAE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7772336"/>
        <c:axId val="927772880"/>
      </c:lineChart>
      <c:catAx>
        <c:axId val="92777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7772880"/>
        <c:crosses val="autoZero"/>
        <c:auto val="1"/>
        <c:lblAlgn val="ctr"/>
        <c:lblOffset val="100"/>
        <c:noMultiLvlLbl val="0"/>
      </c:catAx>
      <c:valAx>
        <c:axId val="927772880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772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2-4BF4-BA02-C356A910B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8204144"/>
        <c:axId val="858203056"/>
      </c:barChart>
      <c:catAx>
        <c:axId val="85820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03056"/>
        <c:crosses val="autoZero"/>
        <c:auto val="1"/>
        <c:lblAlgn val="ctr"/>
        <c:lblOffset val="100"/>
        <c:noMultiLvlLbl val="0"/>
      </c:catAx>
      <c:valAx>
        <c:axId val="8582030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582041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F-4E33-A843-CFE407B4BF04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5F-4E33-A843-CFE407B4B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199792"/>
        <c:axId val="858204688"/>
      </c:scatterChart>
      <c:valAx>
        <c:axId val="8581997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4688"/>
        <c:crosses val="autoZero"/>
        <c:crossBetween val="midCat"/>
        <c:majorUnit val="6"/>
      </c:valAx>
      <c:valAx>
        <c:axId val="85820468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199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775-92F1-B77DFDF95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58200336"/>
        <c:axId val="85820088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775-92F1-B77DFDF952E5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775-92F1-B77DFDF95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0336"/>
        <c:axId val="858200880"/>
      </c:lineChart>
      <c:catAx>
        <c:axId val="85820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858200880"/>
        <c:crosses val="autoZero"/>
        <c:auto val="1"/>
        <c:lblAlgn val="ctr"/>
        <c:lblOffset val="100"/>
        <c:noMultiLvlLbl val="0"/>
      </c:catAx>
      <c:valAx>
        <c:axId val="85820088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03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5C-438A-B54C-EB44DF018D13}"/>
            </c:ext>
          </c:extLst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5C-438A-B54C-EB44DF018D13}"/>
            </c:ext>
          </c:extLst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5C-438A-B54C-EB44DF018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94992"/>
        <c:axId val="995596624"/>
      </c:areaChart>
      <c:catAx>
        <c:axId val="99559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6624"/>
        <c:crosses val="autoZero"/>
        <c:auto val="1"/>
        <c:lblAlgn val="ctr"/>
        <c:lblOffset val="100"/>
        <c:noMultiLvlLbl val="0"/>
      </c:catAx>
      <c:valAx>
        <c:axId val="995596624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4992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2"/>
  <sheetViews>
    <sheetView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4" bestFit="1" customWidth="1"/>
  </cols>
  <sheetData>
    <row r="1" spans="1:2" x14ac:dyDescent="0.25">
      <c r="A1" s="15" t="s">
        <v>1</v>
      </c>
      <c r="B1" s="16" t="s">
        <v>0</v>
      </c>
    </row>
    <row r="2" spans="1:2" s="28" customFormat="1" ht="12" customHeight="1" x14ac:dyDescent="0.25">
      <c r="A2" s="26">
        <v>1</v>
      </c>
      <c r="B2" s="27">
        <v>165</v>
      </c>
    </row>
    <row r="3" spans="1:2" s="28" customFormat="1" ht="12" customHeight="1" x14ac:dyDescent="0.25">
      <c r="A3" s="26">
        <v>2</v>
      </c>
      <c r="B3" s="27">
        <v>171</v>
      </c>
    </row>
    <row r="4" spans="1:2" s="28" customFormat="1" ht="12" customHeight="1" x14ac:dyDescent="0.25">
      <c r="A4" s="26">
        <v>3</v>
      </c>
      <c r="B4" s="27">
        <v>147</v>
      </c>
    </row>
    <row r="5" spans="1:2" s="28" customFormat="1" ht="12" customHeight="1" x14ac:dyDescent="0.25">
      <c r="A5" s="26">
        <v>4</v>
      </c>
      <c r="B5" s="27">
        <v>143</v>
      </c>
    </row>
    <row r="6" spans="1:2" s="28" customFormat="1" ht="12" customHeight="1" x14ac:dyDescent="0.25">
      <c r="A6" s="26">
        <v>5</v>
      </c>
      <c r="B6" s="27">
        <v>164</v>
      </c>
    </row>
    <row r="7" spans="1:2" s="28" customFormat="1" ht="12" customHeight="1" x14ac:dyDescent="0.25">
      <c r="A7" s="26">
        <v>6</v>
      </c>
      <c r="B7" s="27">
        <v>160</v>
      </c>
    </row>
    <row r="8" spans="1:2" s="28" customFormat="1" ht="12" customHeight="1" x14ac:dyDescent="0.25">
      <c r="A8" s="26">
        <v>7</v>
      </c>
      <c r="B8" s="27">
        <v>152</v>
      </c>
    </row>
    <row r="9" spans="1:2" s="28" customFormat="1" ht="12" customHeight="1" x14ac:dyDescent="0.25">
      <c r="A9" s="26">
        <v>8</v>
      </c>
      <c r="B9" s="27">
        <v>150</v>
      </c>
    </row>
    <row r="10" spans="1:2" s="28" customFormat="1" ht="12" customHeight="1" x14ac:dyDescent="0.25">
      <c r="A10" s="26">
        <v>9</v>
      </c>
      <c r="B10" s="27">
        <v>159</v>
      </c>
    </row>
    <row r="11" spans="1:2" s="28" customFormat="1" ht="12" customHeight="1" x14ac:dyDescent="0.25">
      <c r="A11" s="26">
        <v>10</v>
      </c>
      <c r="B11" s="27">
        <v>169</v>
      </c>
    </row>
    <row r="12" spans="1:2" s="28" customFormat="1" ht="12" customHeight="1" x14ac:dyDescent="0.25">
      <c r="A12" s="26">
        <v>11</v>
      </c>
      <c r="B12" s="27">
        <v>173</v>
      </c>
    </row>
    <row r="13" spans="1:2" s="28" customFormat="1" ht="12" customHeight="1" x14ac:dyDescent="0.25">
      <c r="A13" s="26">
        <v>12</v>
      </c>
      <c r="B13" s="27">
        <v>203</v>
      </c>
    </row>
    <row r="14" spans="1:2" s="28" customFormat="1" ht="12" customHeight="1" x14ac:dyDescent="0.25">
      <c r="A14" s="26">
        <v>13</v>
      </c>
      <c r="B14" s="27">
        <v>169</v>
      </c>
    </row>
    <row r="15" spans="1:2" s="28" customFormat="1" ht="12" customHeight="1" x14ac:dyDescent="0.25">
      <c r="A15" s="26">
        <v>14</v>
      </c>
      <c r="B15" s="27">
        <v>166</v>
      </c>
    </row>
    <row r="16" spans="1:2" s="28" customFormat="1" ht="12" customHeight="1" x14ac:dyDescent="0.25">
      <c r="A16" s="26">
        <v>15</v>
      </c>
      <c r="B16" s="27">
        <v>162</v>
      </c>
    </row>
    <row r="17" spans="1:2" s="28" customFormat="1" ht="12" customHeight="1" x14ac:dyDescent="0.25">
      <c r="A17" s="26">
        <v>16</v>
      </c>
      <c r="B17" s="27">
        <v>147</v>
      </c>
    </row>
    <row r="18" spans="1:2" s="28" customFormat="1" ht="12" customHeight="1" x14ac:dyDescent="0.25">
      <c r="A18" s="26">
        <v>17</v>
      </c>
      <c r="B18" s="27">
        <v>188</v>
      </c>
    </row>
    <row r="19" spans="1:2" s="28" customFormat="1" ht="12" customHeight="1" x14ac:dyDescent="0.25">
      <c r="A19" s="26">
        <v>18</v>
      </c>
      <c r="B19" s="27">
        <v>161</v>
      </c>
    </row>
    <row r="20" spans="1:2" s="28" customFormat="1" ht="12" customHeight="1" x14ac:dyDescent="0.25">
      <c r="A20" s="26">
        <v>19</v>
      </c>
      <c r="B20" s="27">
        <v>162</v>
      </c>
    </row>
    <row r="21" spans="1:2" s="28" customFormat="1" ht="12" customHeight="1" x14ac:dyDescent="0.25">
      <c r="A21" s="26">
        <v>20</v>
      </c>
      <c r="B21" s="27">
        <v>169</v>
      </c>
    </row>
    <row r="22" spans="1:2" s="28" customFormat="1" ht="12" customHeight="1" x14ac:dyDescent="0.25">
      <c r="A22" s="26">
        <v>21</v>
      </c>
      <c r="B22" s="27">
        <v>185</v>
      </c>
    </row>
    <row r="23" spans="1:2" s="28" customFormat="1" ht="12" customHeight="1" x14ac:dyDescent="0.25">
      <c r="A23" s="26">
        <v>22</v>
      </c>
      <c r="B23" s="27">
        <v>188</v>
      </c>
    </row>
    <row r="24" spans="1:2" s="28" customFormat="1" ht="12" customHeight="1" x14ac:dyDescent="0.25">
      <c r="A24" s="26">
        <v>23</v>
      </c>
      <c r="B24" s="27">
        <v>200</v>
      </c>
    </row>
    <row r="25" spans="1:2" s="28" customFormat="1" ht="12" customHeight="1" x14ac:dyDescent="0.25">
      <c r="A25" s="26">
        <v>24</v>
      </c>
      <c r="B25" s="27">
        <v>229</v>
      </c>
    </row>
    <row r="26" spans="1:2" s="28" customFormat="1" ht="12" customHeight="1" x14ac:dyDescent="0.25">
      <c r="A26" s="26">
        <v>25</v>
      </c>
      <c r="B26" s="27">
        <v>189</v>
      </c>
    </row>
    <row r="27" spans="1:2" s="28" customFormat="1" ht="12" customHeight="1" x14ac:dyDescent="0.25">
      <c r="A27" s="26">
        <v>26</v>
      </c>
      <c r="B27" s="27">
        <v>218</v>
      </c>
    </row>
    <row r="28" spans="1:2" s="28" customFormat="1" ht="12" customHeight="1" x14ac:dyDescent="0.25">
      <c r="A28" s="26">
        <v>27</v>
      </c>
      <c r="B28" s="27">
        <v>185</v>
      </c>
    </row>
    <row r="29" spans="1:2" s="28" customFormat="1" ht="12" customHeight="1" x14ac:dyDescent="0.25">
      <c r="A29" s="26">
        <v>28</v>
      </c>
      <c r="B29" s="27">
        <v>199</v>
      </c>
    </row>
    <row r="30" spans="1:2" s="28" customFormat="1" ht="12" customHeight="1" x14ac:dyDescent="0.25">
      <c r="A30" s="26">
        <v>29</v>
      </c>
      <c r="B30" s="27">
        <v>210</v>
      </c>
    </row>
    <row r="31" spans="1:2" s="28" customFormat="1" ht="12" customHeight="1" x14ac:dyDescent="0.25">
      <c r="A31" s="26">
        <v>30</v>
      </c>
      <c r="B31" s="27">
        <v>193</v>
      </c>
    </row>
    <row r="32" spans="1:2" s="28" customFormat="1" ht="12" customHeight="1" x14ac:dyDescent="0.25">
      <c r="A32" s="26">
        <v>31</v>
      </c>
      <c r="B32" s="27">
        <v>211</v>
      </c>
    </row>
    <row r="33" spans="1:2" s="28" customFormat="1" ht="12" customHeight="1" x14ac:dyDescent="0.25">
      <c r="A33" s="26">
        <v>32</v>
      </c>
      <c r="B33" s="27">
        <v>208</v>
      </c>
    </row>
    <row r="34" spans="1:2" s="28" customFormat="1" ht="12" customHeight="1" x14ac:dyDescent="0.25">
      <c r="A34" s="26">
        <v>33</v>
      </c>
      <c r="B34" s="27">
        <v>216</v>
      </c>
    </row>
    <row r="35" spans="1:2" s="28" customFormat="1" ht="12" customHeight="1" x14ac:dyDescent="0.25">
      <c r="A35" s="26">
        <v>34</v>
      </c>
      <c r="B35" s="27">
        <v>218</v>
      </c>
    </row>
    <row r="36" spans="1:2" s="28" customFormat="1" ht="12" customHeight="1" x14ac:dyDescent="0.25">
      <c r="A36" s="26">
        <v>35</v>
      </c>
      <c r="B36" s="27">
        <v>264</v>
      </c>
    </row>
    <row r="37" spans="1:2" s="28" customFormat="1" ht="12" customHeight="1" x14ac:dyDescent="0.25">
      <c r="A37" s="29">
        <v>36</v>
      </c>
      <c r="B37" s="30">
        <v>304</v>
      </c>
    </row>
    <row r="39" spans="1:2" x14ac:dyDescent="0.25">
      <c r="A39" t="s">
        <v>30</v>
      </c>
      <c r="B39" s="24">
        <f>INDEX(LINEST(B2:B37,A2:A37,TRUE,TRUE),1,1)</f>
        <v>2.5386100386100385</v>
      </c>
    </row>
    <row r="40" spans="1:2" x14ac:dyDescent="0.25">
      <c r="A40" t="s">
        <v>33</v>
      </c>
      <c r="B40" s="24">
        <f>INDEX(LINEST(B2:B37,A2:A37,TRUE,TRUE),2,1)</f>
        <v>0.34018172051263179</v>
      </c>
    </row>
    <row r="41" spans="1:2" x14ac:dyDescent="0.25">
      <c r="A41" t="s">
        <v>31</v>
      </c>
      <c r="B41" s="14">
        <f>INDEX(LINEST(B2:B37,A2:A37,TRUE,TRUE),4,2)</f>
        <v>34</v>
      </c>
    </row>
    <row r="42" spans="1:2" x14ac:dyDescent="0.25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9" t="s">
        <v>8</v>
      </c>
      <c r="F1" s="19" t="s">
        <v>9</v>
      </c>
    </row>
    <row r="2" spans="1:6" x14ac:dyDescent="0.2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2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2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2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2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2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2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2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2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2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2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2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2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2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2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2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2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2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2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2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2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2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2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2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2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2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2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2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2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2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2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2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2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2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2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3"/>
  <sheetViews>
    <sheetView tabSelected="1" workbookViewId="0">
      <pane ySplit="4" topLeftCell="A5" activePane="bottomLeft" state="frozen"/>
      <selection activeCell="O15" sqref="O15"/>
      <selection pane="bottomLeft" activeCell="H3" sqref="H3"/>
    </sheetView>
  </sheetViews>
  <sheetFormatPr defaultColWidth="11" defaultRowHeight="15.75" x14ac:dyDescent="0.2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63" x14ac:dyDescent="0.25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 x14ac:dyDescent="0.25">
      <c r="A2">
        <v>36</v>
      </c>
      <c r="C2" s="18">
        <v>0.10000000149011599</v>
      </c>
      <c r="D2" s="18">
        <v>0.48999983072280801</v>
      </c>
      <c r="F2" s="18">
        <f>SUM(G6:G41)</f>
        <v>15938.814024887986</v>
      </c>
      <c r="G2" s="18">
        <f>SQRT(F2/(36-2))</f>
        <v>21.651527608712119</v>
      </c>
    </row>
    <row r="4" spans="1:8" ht="27" customHeight="1" x14ac:dyDescent="0.25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 x14ac:dyDescent="0.2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25">
      <c r="A6">
        <v>1</v>
      </c>
      <c r="B6">
        <v>165</v>
      </c>
      <c r="C6" s="18">
        <f>C5+D5+C$2*F6</f>
        <v>157.54521001234278</v>
      </c>
      <c r="D6" s="18">
        <f>D5+D$2*C$2*F6</f>
        <v>1.2427717658339685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25">
      <c r="A7">
        <v>2</v>
      </c>
      <c r="B7">
        <v>171</v>
      </c>
      <c r="C7" s="18">
        <f t="shared" ref="C7:C41" si="0">C6+D6+C$2*F7</f>
        <v>160.00918361855639</v>
      </c>
      <c r="D7" s="18">
        <f t="shared" ref="D7:D41" si="1">D6+D$2*C$2*F7</f>
        <v>1.8411604608983785</v>
      </c>
      <c r="E7" s="18">
        <f t="shared" ref="E7:E41" si="2">C6+D6</f>
        <v>158.78798177817674</v>
      </c>
      <c r="F7" s="18">
        <f t="shared" ref="F7:F41" si="3">B7-E7</f>
        <v>12.212018221823257</v>
      </c>
      <c r="G7" s="18">
        <f t="shared" ref="G7:G41" si="4">F7^2</f>
        <v>149.13338905014328</v>
      </c>
    </row>
    <row r="8" spans="1:8" x14ac:dyDescent="0.25">
      <c r="A8">
        <v>3</v>
      </c>
      <c r="B8">
        <v>147</v>
      </c>
      <c r="C8" s="18">
        <f t="shared" si="0"/>
        <v>160.36530964938055</v>
      </c>
      <c r="D8" s="18">
        <f t="shared" si="1"/>
        <v>1.1134938415444728</v>
      </c>
      <c r="E8" s="18">
        <f t="shared" si="2"/>
        <v>161.85034407945477</v>
      </c>
      <c r="F8" s="18">
        <f t="shared" si="3"/>
        <v>-14.850344079454771</v>
      </c>
      <c r="G8" s="18">
        <f t="shared" si="4"/>
        <v>220.53271927819739</v>
      </c>
    </row>
    <row r="9" spans="1:8" x14ac:dyDescent="0.25">
      <c r="A9">
        <v>4</v>
      </c>
      <c r="B9">
        <v>143</v>
      </c>
      <c r="C9" s="18">
        <f t="shared" si="0"/>
        <v>159.63092311429696</v>
      </c>
      <c r="D9" s="18">
        <f t="shared" si="1"/>
        <v>0.20803276980072294</v>
      </c>
      <c r="E9" s="18">
        <f t="shared" si="2"/>
        <v>161.47880349092503</v>
      </c>
      <c r="F9" s="18">
        <f t="shared" si="3"/>
        <v>-18.478803490925031</v>
      </c>
      <c r="G9" s="18">
        <f t="shared" si="4"/>
        <v>341.46617845622313</v>
      </c>
    </row>
    <row r="10" spans="1:8" x14ac:dyDescent="0.25">
      <c r="A10">
        <v>5</v>
      </c>
      <c r="B10">
        <v>164</v>
      </c>
      <c r="C10" s="18">
        <f t="shared" si="0"/>
        <v>160.25506030188836</v>
      </c>
      <c r="D10" s="18">
        <f t="shared" si="1"/>
        <v>0.41192386408116372</v>
      </c>
      <c r="E10" s="18">
        <f t="shared" si="2"/>
        <v>159.83895588409769</v>
      </c>
      <c r="F10" s="18">
        <f t="shared" si="3"/>
        <v>4.1610441159023139</v>
      </c>
      <c r="G10" s="18">
        <f t="shared" si="4"/>
        <v>17.31428813448527</v>
      </c>
    </row>
    <row r="11" spans="1:8" x14ac:dyDescent="0.25">
      <c r="A11">
        <v>6</v>
      </c>
      <c r="B11">
        <v>160</v>
      </c>
      <c r="C11" s="18">
        <f t="shared" si="0"/>
        <v>160.6002857483787</v>
      </c>
      <c r="D11" s="18">
        <f t="shared" si="1"/>
        <v>0.37924165075217486</v>
      </c>
      <c r="E11" s="18">
        <f t="shared" si="2"/>
        <v>160.66698416596952</v>
      </c>
      <c r="F11" s="18">
        <f t="shared" si="3"/>
        <v>-0.6669841659695237</v>
      </c>
      <c r="G11" s="18">
        <f t="shared" si="4"/>
        <v>0.44486787765406116</v>
      </c>
    </row>
    <row r="12" spans="1:8" x14ac:dyDescent="0.25">
      <c r="A12">
        <v>7</v>
      </c>
      <c r="B12">
        <v>152</v>
      </c>
      <c r="C12" s="18">
        <f t="shared" si="0"/>
        <v>160.08157464583724</v>
      </c>
      <c r="D12" s="18">
        <f t="shared" si="1"/>
        <v>-6.0755046358779929E-2</v>
      </c>
      <c r="E12" s="18">
        <f t="shared" si="2"/>
        <v>160.97952739913086</v>
      </c>
      <c r="F12" s="18">
        <f t="shared" si="3"/>
        <v>-8.9795273991308591</v>
      </c>
      <c r="G12" s="18">
        <f t="shared" si="4"/>
        <v>80.631912311741814</v>
      </c>
    </row>
    <row r="13" spans="1:8" x14ac:dyDescent="0.25">
      <c r="A13">
        <v>8</v>
      </c>
      <c r="B13">
        <v>150</v>
      </c>
      <c r="C13" s="18">
        <f t="shared" si="0"/>
        <v>159.01873762459843</v>
      </c>
      <c r="D13" s="18">
        <f t="shared" si="1"/>
        <v>-0.55177504442037073</v>
      </c>
      <c r="E13" s="18">
        <f t="shared" si="2"/>
        <v>160.02081959947844</v>
      </c>
      <c r="F13" s="18">
        <f t="shared" si="3"/>
        <v>-10.020819599478443</v>
      </c>
      <c r="G13" s="18">
        <f t="shared" si="4"/>
        <v>100.41682544529131</v>
      </c>
    </row>
    <row r="14" spans="1:8" x14ac:dyDescent="0.25">
      <c r="A14">
        <v>9</v>
      </c>
      <c r="B14">
        <v>159</v>
      </c>
      <c r="C14" s="18">
        <f t="shared" si="0"/>
        <v>158.52026632295454</v>
      </c>
      <c r="D14" s="18">
        <f t="shared" si="1"/>
        <v>-0.52565621948300278</v>
      </c>
      <c r="E14" s="18">
        <f t="shared" si="2"/>
        <v>158.46696258017806</v>
      </c>
      <c r="F14" s="18">
        <f t="shared" si="3"/>
        <v>0.53303741982193742</v>
      </c>
      <c r="G14" s="18">
        <f t="shared" si="4"/>
        <v>0.28412889093042837</v>
      </c>
    </row>
    <row r="15" spans="1:8" x14ac:dyDescent="0.25">
      <c r="A15">
        <v>10</v>
      </c>
      <c r="B15">
        <v>169</v>
      </c>
      <c r="C15" s="18">
        <f t="shared" si="0"/>
        <v>159.09514910952367</v>
      </c>
      <c r="D15" s="18">
        <f t="shared" si="1"/>
        <v>1.3607707186400253E-2</v>
      </c>
      <c r="E15" s="18">
        <f t="shared" si="2"/>
        <v>157.99461010347153</v>
      </c>
      <c r="F15" s="18">
        <f t="shared" si="3"/>
        <v>11.00538989652847</v>
      </c>
      <c r="G15" s="18">
        <f t="shared" si="4"/>
        <v>121.11860677461094</v>
      </c>
    </row>
    <row r="16" spans="1:8" x14ac:dyDescent="0.25">
      <c r="A16">
        <v>11</v>
      </c>
      <c r="B16">
        <v>173</v>
      </c>
      <c r="C16" s="18">
        <f t="shared" si="0"/>
        <v>160.49788115573864</v>
      </c>
      <c r="D16" s="18">
        <f t="shared" si="1"/>
        <v>0.69427839816332559</v>
      </c>
      <c r="E16" s="18">
        <f t="shared" si="2"/>
        <v>159.10875681671007</v>
      </c>
      <c r="F16" s="18">
        <f t="shared" si="3"/>
        <v>13.89124318328993</v>
      </c>
      <c r="G16" s="18">
        <f t="shared" si="4"/>
        <v>192.96663717729896</v>
      </c>
    </row>
    <row r="17" spans="1:7" x14ac:dyDescent="0.25">
      <c r="A17">
        <v>12</v>
      </c>
      <c r="B17">
        <v>203</v>
      </c>
      <c r="C17" s="18">
        <f t="shared" si="0"/>
        <v>165.37294366081031</v>
      </c>
      <c r="D17" s="18">
        <f t="shared" si="1"/>
        <v>2.7428619028370154</v>
      </c>
      <c r="E17" s="18">
        <f t="shared" si="2"/>
        <v>161.19215955390197</v>
      </c>
      <c r="F17" s="18">
        <f t="shared" si="3"/>
        <v>41.807840446098027</v>
      </c>
      <c r="G17" s="18">
        <f t="shared" si="4"/>
        <v>1747.8955227663901</v>
      </c>
    </row>
    <row r="18" spans="1:7" x14ac:dyDescent="0.25">
      <c r="A18">
        <v>13</v>
      </c>
      <c r="B18">
        <v>169</v>
      </c>
      <c r="C18" s="18">
        <f t="shared" si="0"/>
        <v>168.20422500860013</v>
      </c>
      <c r="D18" s="18">
        <f t="shared" si="1"/>
        <v>2.7861874158965021</v>
      </c>
      <c r="E18" s="18">
        <f t="shared" si="2"/>
        <v>168.11580556364731</v>
      </c>
      <c r="F18" s="18">
        <f t="shared" si="3"/>
        <v>0.88419443635268635</v>
      </c>
      <c r="G18" s="18">
        <f t="shared" si="4"/>
        <v>0.78179980127704474</v>
      </c>
    </row>
    <row r="19" spans="1:7" x14ac:dyDescent="0.25">
      <c r="A19">
        <v>14</v>
      </c>
      <c r="B19">
        <v>166</v>
      </c>
      <c r="C19" s="18">
        <f t="shared" si="0"/>
        <v>170.49137117461069</v>
      </c>
      <c r="D19" s="18">
        <f t="shared" si="1"/>
        <v>2.5416572879286843</v>
      </c>
      <c r="E19" s="18">
        <f t="shared" si="2"/>
        <v>170.99041242449664</v>
      </c>
      <c r="F19" s="18">
        <f t="shared" si="3"/>
        <v>-4.9904124244966397</v>
      </c>
      <c r="G19" s="18">
        <f t="shared" si="4"/>
        <v>24.904216166570428</v>
      </c>
    </row>
    <row r="20" spans="1:7" x14ac:dyDescent="0.25">
      <c r="A20">
        <v>15</v>
      </c>
      <c r="B20">
        <v>162</v>
      </c>
      <c r="C20" s="18">
        <f t="shared" si="0"/>
        <v>171.92972559984494</v>
      </c>
      <c r="D20" s="18">
        <f t="shared" si="1"/>
        <v>2.0010390719724249</v>
      </c>
      <c r="E20" s="18">
        <f t="shared" si="2"/>
        <v>173.03302846253936</v>
      </c>
      <c r="F20" s="18">
        <f t="shared" si="3"/>
        <v>-11.033028462539363</v>
      </c>
      <c r="G20" s="18">
        <f t="shared" si="4"/>
        <v>121.7277170552037</v>
      </c>
    </row>
    <row r="21" spans="1:7" x14ac:dyDescent="0.25">
      <c r="A21">
        <v>16</v>
      </c>
      <c r="B21">
        <v>147</v>
      </c>
      <c r="C21" s="18">
        <f t="shared" si="0"/>
        <v>171.23768816450567</v>
      </c>
      <c r="D21" s="18">
        <f t="shared" si="1"/>
        <v>0.68143203926612084</v>
      </c>
      <c r="E21" s="18">
        <f t="shared" si="2"/>
        <v>173.93076467181737</v>
      </c>
      <c r="F21" s="18">
        <f t="shared" si="3"/>
        <v>-26.930764671817371</v>
      </c>
      <c r="G21" s="18">
        <f t="shared" si="4"/>
        <v>725.26608580880657</v>
      </c>
    </row>
    <row r="22" spans="1:7" x14ac:dyDescent="0.25">
      <c r="A22">
        <v>17</v>
      </c>
      <c r="B22">
        <v>188</v>
      </c>
      <c r="C22" s="18">
        <f t="shared" si="0"/>
        <v>173.52720820735701</v>
      </c>
      <c r="D22" s="18">
        <f t="shared" si="1"/>
        <v>1.4693948888102453</v>
      </c>
      <c r="E22" s="18">
        <f t="shared" si="2"/>
        <v>171.9191202037718</v>
      </c>
      <c r="F22" s="18">
        <f t="shared" si="3"/>
        <v>16.080879796228203</v>
      </c>
      <c r="G22" s="18">
        <f t="shared" si="4"/>
        <v>258.5946950207404</v>
      </c>
    </row>
    <row r="23" spans="1:7" x14ac:dyDescent="0.25">
      <c r="A23">
        <v>18</v>
      </c>
      <c r="B23">
        <v>161</v>
      </c>
      <c r="C23" s="18">
        <f t="shared" si="0"/>
        <v>173.59694276569397</v>
      </c>
      <c r="D23" s="18">
        <f t="shared" si="1"/>
        <v>0.7835615638089044</v>
      </c>
      <c r="E23" s="18">
        <f t="shared" si="2"/>
        <v>174.99660309616726</v>
      </c>
      <c r="F23" s="18">
        <f t="shared" si="3"/>
        <v>-13.996603096167263</v>
      </c>
      <c r="G23" s="18">
        <f t="shared" si="4"/>
        <v>195.90489823163901</v>
      </c>
    </row>
    <row r="24" spans="1:7" x14ac:dyDescent="0.25">
      <c r="A24">
        <v>19</v>
      </c>
      <c r="B24">
        <v>162</v>
      </c>
      <c r="C24" s="18">
        <f t="shared" si="0"/>
        <v>173.14245387810422</v>
      </c>
      <c r="D24" s="18">
        <f t="shared" si="1"/>
        <v>0.17691705219725717</v>
      </c>
      <c r="E24" s="18">
        <f t="shared" si="2"/>
        <v>174.38050432950288</v>
      </c>
      <c r="F24" s="18">
        <f t="shared" si="3"/>
        <v>-12.380504329502884</v>
      </c>
      <c r="G24" s="18">
        <f t="shared" si="4"/>
        <v>153.27688745283965</v>
      </c>
    </row>
    <row r="25" spans="1:7" x14ac:dyDescent="0.25">
      <c r="A25">
        <v>20</v>
      </c>
      <c r="B25">
        <v>169</v>
      </c>
      <c r="C25" s="18">
        <f t="shared" si="0"/>
        <v>172.88743383083496</v>
      </c>
      <c r="D25" s="18">
        <f t="shared" si="1"/>
        <v>-3.473205342423466E-2</v>
      </c>
      <c r="E25" s="18">
        <f t="shared" si="2"/>
        <v>173.31937093030149</v>
      </c>
      <c r="F25" s="18">
        <f t="shared" si="3"/>
        <v>-4.3193709303014884</v>
      </c>
      <c r="G25" s="18">
        <f t="shared" si="4"/>
        <v>18.656965233533544</v>
      </c>
    </row>
    <row r="26" spans="1:7" x14ac:dyDescent="0.25">
      <c r="A26">
        <v>21</v>
      </c>
      <c r="B26">
        <v>185</v>
      </c>
      <c r="C26" s="18">
        <f t="shared" si="0"/>
        <v>174.06743161777055</v>
      </c>
      <c r="D26" s="18">
        <f t="shared" si="1"/>
        <v>0.56048536272601535</v>
      </c>
      <c r="E26" s="18">
        <f t="shared" si="2"/>
        <v>172.85270177741074</v>
      </c>
      <c r="F26" s="18">
        <f t="shared" si="3"/>
        <v>12.147298222589257</v>
      </c>
      <c r="G26" s="18">
        <f t="shared" si="4"/>
        <v>147.5568541085201</v>
      </c>
    </row>
    <row r="27" spans="1:7" x14ac:dyDescent="0.25">
      <c r="A27">
        <v>22</v>
      </c>
      <c r="B27">
        <v>188</v>
      </c>
      <c r="C27" s="18">
        <f t="shared" si="0"/>
        <v>175.96512530237285</v>
      </c>
      <c r="D27" s="18">
        <f t="shared" si="1"/>
        <v>1.2157172140865318</v>
      </c>
      <c r="E27" s="18">
        <f t="shared" si="2"/>
        <v>174.62791698049656</v>
      </c>
      <c r="F27" s="18">
        <f t="shared" si="3"/>
        <v>13.372083019503435</v>
      </c>
      <c r="G27" s="18">
        <f t="shared" si="4"/>
        <v>178.81260428049211</v>
      </c>
    </row>
    <row r="28" spans="1:7" x14ac:dyDescent="0.25">
      <c r="A28">
        <v>23</v>
      </c>
      <c r="B28">
        <v>200</v>
      </c>
      <c r="C28" s="18">
        <f t="shared" si="0"/>
        <v>179.46275829881665</v>
      </c>
      <c r="D28" s="18">
        <f t="shared" si="1"/>
        <v>2.3338555611652891</v>
      </c>
      <c r="E28" s="18">
        <f t="shared" si="2"/>
        <v>177.18084251645939</v>
      </c>
      <c r="F28" s="18">
        <f t="shared" si="3"/>
        <v>22.819157483540607</v>
      </c>
      <c r="G28" s="18">
        <f t="shared" si="4"/>
        <v>520.71394825862728</v>
      </c>
    </row>
    <row r="29" spans="1:7" x14ac:dyDescent="0.25">
      <c r="A29">
        <v>24</v>
      </c>
      <c r="B29">
        <v>229</v>
      </c>
      <c r="C29" s="18">
        <f t="shared" si="0"/>
        <v>186.51695254432227</v>
      </c>
      <c r="D29" s="18">
        <f t="shared" si="1"/>
        <v>4.6468207174463716</v>
      </c>
      <c r="E29" s="18">
        <f t="shared" si="2"/>
        <v>181.79661385998193</v>
      </c>
      <c r="F29" s="18">
        <f t="shared" si="3"/>
        <v>47.203386140018068</v>
      </c>
      <c r="G29" s="18">
        <f t="shared" si="4"/>
        <v>2228.1596630836498</v>
      </c>
    </row>
    <row r="30" spans="1:7" x14ac:dyDescent="0.25">
      <c r="A30">
        <v>25</v>
      </c>
      <c r="B30">
        <v>189</v>
      </c>
      <c r="C30" s="18">
        <f t="shared" si="0"/>
        <v>190.9473959323675</v>
      </c>
      <c r="D30" s="18">
        <f t="shared" si="1"/>
        <v>4.5407958626675615</v>
      </c>
      <c r="E30" s="18">
        <f t="shared" si="2"/>
        <v>191.16377326176863</v>
      </c>
      <c r="F30" s="18">
        <f t="shared" si="3"/>
        <v>-2.1637732617686254</v>
      </c>
      <c r="G30" s="18">
        <f t="shared" si="4"/>
        <v>4.6819147283448359</v>
      </c>
    </row>
    <row r="31" spans="1:7" x14ac:dyDescent="0.25">
      <c r="A31">
        <v>26</v>
      </c>
      <c r="B31">
        <v>218</v>
      </c>
      <c r="C31" s="18">
        <f t="shared" si="0"/>
        <v>197.73937264907676</v>
      </c>
      <c r="D31" s="18">
        <f t="shared" si="1"/>
        <v>5.643874100074421</v>
      </c>
      <c r="E31" s="18">
        <f t="shared" si="2"/>
        <v>195.48819179503505</v>
      </c>
      <c r="F31" s="18">
        <f t="shared" si="3"/>
        <v>22.51180820496495</v>
      </c>
      <c r="G31" s="18">
        <f t="shared" si="4"/>
        <v>506.78150865712723</v>
      </c>
    </row>
    <row r="32" spans="1:7" x14ac:dyDescent="0.25">
      <c r="A32">
        <v>27</v>
      </c>
      <c r="B32">
        <v>185</v>
      </c>
      <c r="C32" s="18">
        <f t="shared" si="0"/>
        <v>201.54492204684288</v>
      </c>
      <c r="D32" s="18">
        <f t="shared" si="1"/>
        <v>4.7430953071298037</v>
      </c>
      <c r="E32" s="18">
        <f t="shared" si="2"/>
        <v>203.38324674915117</v>
      </c>
      <c r="F32" s="18">
        <f t="shared" si="3"/>
        <v>-18.383246749151169</v>
      </c>
      <c r="G32" s="18">
        <f t="shared" si="4"/>
        <v>337.94376104017704</v>
      </c>
    </row>
    <row r="33" spans="1:7" x14ac:dyDescent="0.25">
      <c r="A33">
        <v>28</v>
      </c>
      <c r="B33">
        <v>199</v>
      </c>
      <c r="C33" s="18">
        <f t="shared" si="0"/>
        <v>205.55921560771543</v>
      </c>
      <c r="D33" s="18">
        <f t="shared" si="1"/>
        <v>4.3859825748332595</v>
      </c>
      <c r="E33" s="18">
        <f t="shared" si="2"/>
        <v>206.28801735397269</v>
      </c>
      <c r="F33" s="18">
        <f t="shared" si="3"/>
        <v>-7.2880173539726911</v>
      </c>
      <c r="G33" s="18">
        <f t="shared" si="4"/>
        <v>53.115196951807107</v>
      </c>
    </row>
    <row r="34" spans="1:7" x14ac:dyDescent="0.25">
      <c r="A34">
        <v>29</v>
      </c>
      <c r="B34">
        <v>210</v>
      </c>
      <c r="C34" s="18">
        <f t="shared" si="0"/>
        <v>209.95067836437548</v>
      </c>
      <c r="D34" s="18">
        <f t="shared" si="1"/>
        <v>4.3886678630007179</v>
      </c>
      <c r="E34" s="18">
        <f t="shared" si="2"/>
        <v>209.94519818254869</v>
      </c>
      <c r="F34" s="18">
        <f t="shared" si="3"/>
        <v>5.4801817451306079E-2</v>
      </c>
      <c r="G34" s="18">
        <f t="shared" si="4"/>
        <v>3.0032391959662753E-3</v>
      </c>
    </row>
    <row r="35" spans="1:7" x14ac:dyDescent="0.25">
      <c r="A35">
        <v>30</v>
      </c>
      <c r="B35">
        <v>193</v>
      </c>
      <c r="C35" s="18">
        <f t="shared" si="0"/>
        <v>212.20541157284046</v>
      </c>
      <c r="D35" s="18">
        <f t="shared" si="1"/>
        <v>3.3430402435046815</v>
      </c>
      <c r="E35" s="18">
        <f t="shared" si="2"/>
        <v>214.33934622737618</v>
      </c>
      <c r="F35" s="18">
        <f t="shared" si="3"/>
        <v>-21.339346227376183</v>
      </c>
      <c r="G35" s="18">
        <f t="shared" si="4"/>
        <v>455.36769741183411</v>
      </c>
    </row>
    <row r="36" spans="1:7" x14ac:dyDescent="0.25">
      <c r="A36">
        <v>31</v>
      </c>
      <c r="B36">
        <v>211</v>
      </c>
      <c r="C36" s="18">
        <f t="shared" si="0"/>
        <v>215.0936066279329</v>
      </c>
      <c r="D36" s="18">
        <f t="shared" si="1"/>
        <v>3.1201661781776031</v>
      </c>
      <c r="E36" s="18">
        <f t="shared" si="2"/>
        <v>215.54845181634514</v>
      </c>
      <c r="F36" s="18">
        <f t="shared" si="3"/>
        <v>-4.5484518163451355</v>
      </c>
      <c r="G36" s="18">
        <f t="shared" si="4"/>
        <v>20.688413925613361</v>
      </c>
    </row>
    <row r="37" spans="1:7" x14ac:dyDescent="0.25">
      <c r="A37">
        <v>32</v>
      </c>
      <c r="B37">
        <v>208</v>
      </c>
      <c r="C37" s="18">
        <f t="shared" si="0"/>
        <v>217.19239551027977</v>
      </c>
      <c r="D37" s="18">
        <f t="shared" si="1"/>
        <v>2.6196914761164125</v>
      </c>
      <c r="E37" s="18">
        <f t="shared" si="2"/>
        <v>218.21377280611051</v>
      </c>
      <c r="F37" s="18">
        <f t="shared" si="3"/>
        <v>-10.213772806110512</v>
      </c>
      <c r="G37" s="18">
        <f t="shared" si="4"/>
        <v>104.32115493484261</v>
      </c>
    </row>
    <row r="38" spans="1:7" x14ac:dyDescent="0.25">
      <c r="A38">
        <v>33</v>
      </c>
      <c r="B38">
        <v>216</v>
      </c>
      <c r="C38" s="18">
        <f t="shared" si="0"/>
        <v>219.43087828207609</v>
      </c>
      <c r="D38" s="18">
        <f t="shared" si="1"/>
        <v>2.4328992755295178</v>
      </c>
      <c r="E38" s="18">
        <f t="shared" si="2"/>
        <v>219.81208698639617</v>
      </c>
      <c r="F38" s="18">
        <f t="shared" si="3"/>
        <v>-3.8120869863961673</v>
      </c>
      <c r="G38" s="18">
        <f t="shared" si="4"/>
        <v>14.532007191851012</v>
      </c>
    </row>
    <row r="39" spans="1:7" x14ac:dyDescent="0.25">
      <c r="A39">
        <v>34</v>
      </c>
      <c r="B39">
        <v>218</v>
      </c>
      <c r="C39" s="18">
        <f t="shared" si="0"/>
        <v>221.47739979608755</v>
      </c>
      <c r="D39" s="18">
        <f t="shared" si="1"/>
        <v>2.243574237790622</v>
      </c>
      <c r="E39" s="18">
        <f t="shared" si="2"/>
        <v>221.8637775576056</v>
      </c>
      <c r="F39" s="18">
        <f t="shared" si="3"/>
        <v>-3.8637775576056015</v>
      </c>
      <c r="G39" s="18">
        <f t="shared" si="4"/>
        <v>14.928777014656706</v>
      </c>
    </row>
    <row r="40" spans="1:7" x14ac:dyDescent="0.25">
      <c r="A40">
        <v>35</v>
      </c>
      <c r="B40">
        <v>264</v>
      </c>
      <c r="C40" s="18">
        <f t="shared" si="0"/>
        <v>227.74887669051077</v>
      </c>
      <c r="D40" s="18">
        <f t="shared" si="1"/>
        <v>4.2172458577085461</v>
      </c>
      <c r="E40" s="18">
        <f t="shared" si="2"/>
        <v>223.72097403387818</v>
      </c>
      <c r="F40" s="18">
        <f t="shared" si="3"/>
        <v>40.279025966121822</v>
      </c>
      <c r="G40" s="18">
        <f t="shared" si="4"/>
        <v>1622.3999327795159</v>
      </c>
    </row>
    <row r="41" spans="1:7" x14ac:dyDescent="0.25">
      <c r="A41">
        <v>36</v>
      </c>
      <c r="B41">
        <v>304</v>
      </c>
      <c r="C41" s="18">
        <f t="shared" si="0"/>
        <v>239.16951040073621</v>
      </c>
      <c r="D41" s="18">
        <f t="shared" si="1"/>
        <v>7.7469046860725594</v>
      </c>
      <c r="E41" s="18">
        <f t="shared" si="2"/>
        <v>231.96612254821932</v>
      </c>
      <c r="F41" s="18">
        <f t="shared" si="3"/>
        <v>72.033877451780683</v>
      </c>
      <c r="G41" s="18">
        <f t="shared" si="4"/>
        <v>5188.8795007381577</v>
      </c>
    </row>
    <row r="42" spans="1:7" x14ac:dyDescent="0.25">
      <c r="A42" s="4">
        <v>37</v>
      </c>
      <c r="B42" s="5">
        <f>C$41+(A42-A$41)*D$41</f>
        <v>246.91641508680877</v>
      </c>
      <c r="C42" s="21"/>
      <c r="D42" s="21"/>
      <c r="E42" s="21"/>
      <c r="F42" s="21"/>
      <c r="G42" s="21"/>
    </row>
    <row r="43" spans="1:7" x14ac:dyDescent="0.25">
      <c r="A43" s="4">
        <v>38</v>
      </c>
      <c r="B43" s="5">
        <f t="shared" ref="B43:B53" si="5">C$41+(A43-A$41)*D$41</f>
        <v>254.66331977288132</v>
      </c>
      <c r="C43" s="21"/>
      <c r="D43" s="21"/>
      <c r="E43" s="21"/>
      <c r="F43" s="21"/>
      <c r="G43" s="21"/>
    </row>
    <row r="44" spans="1:7" x14ac:dyDescent="0.25">
      <c r="A44" s="4">
        <v>39</v>
      </c>
      <c r="B44" s="5">
        <f t="shared" si="5"/>
        <v>262.41022445895391</v>
      </c>
      <c r="C44" s="21"/>
      <c r="D44" s="21"/>
      <c r="E44" s="21"/>
      <c r="F44" s="21"/>
      <c r="G44" s="21"/>
    </row>
    <row r="45" spans="1:7" x14ac:dyDescent="0.25">
      <c r="A45" s="4">
        <v>40</v>
      </c>
      <c r="B45" s="5">
        <f t="shared" si="5"/>
        <v>270.15712914502643</v>
      </c>
      <c r="C45" s="21"/>
      <c r="D45" s="21"/>
      <c r="E45" s="21"/>
      <c r="F45" s="21"/>
      <c r="G45" s="21"/>
    </row>
    <row r="46" spans="1:7" x14ac:dyDescent="0.25">
      <c r="A46" s="4">
        <v>41</v>
      </c>
      <c r="B46" s="5">
        <f t="shared" si="5"/>
        <v>277.90403383109901</v>
      </c>
      <c r="C46" s="21"/>
      <c r="D46" s="21"/>
      <c r="E46" s="21"/>
      <c r="F46" s="21"/>
      <c r="G46" s="21"/>
    </row>
    <row r="47" spans="1:7" x14ac:dyDescent="0.25">
      <c r="A47" s="4">
        <v>42</v>
      </c>
      <c r="B47" s="5">
        <f t="shared" si="5"/>
        <v>285.65093851717154</v>
      </c>
      <c r="C47" s="21"/>
      <c r="D47" s="21"/>
      <c r="E47" s="21"/>
      <c r="F47" s="21"/>
      <c r="G47" s="21"/>
    </row>
    <row r="48" spans="1:7" x14ac:dyDescent="0.25">
      <c r="A48" s="4">
        <v>43</v>
      </c>
      <c r="B48" s="5">
        <f t="shared" si="5"/>
        <v>293.39784320324412</v>
      </c>
      <c r="C48" s="21"/>
      <c r="D48" s="21"/>
      <c r="E48" s="21"/>
      <c r="F48" s="21"/>
      <c r="G48" s="21"/>
    </row>
    <row r="49" spans="1:7" x14ac:dyDescent="0.25">
      <c r="A49" s="4">
        <v>44</v>
      </c>
      <c r="B49" s="5">
        <f t="shared" si="5"/>
        <v>301.1447478893167</v>
      </c>
      <c r="C49" s="21"/>
      <c r="D49" s="21"/>
      <c r="E49" s="21"/>
      <c r="F49" s="21"/>
      <c r="G49" s="21"/>
    </row>
    <row r="50" spans="1:7" x14ac:dyDescent="0.25">
      <c r="A50" s="4">
        <v>45</v>
      </c>
      <c r="B50" s="5">
        <f t="shared" si="5"/>
        <v>308.89165257538923</v>
      </c>
      <c r="C50" s="21"/>
      <c r="D50" s="21"/>
      <c r="E50" s="21"/>
      <c r="F50" s="21"/>
      <c r="G50" s="21"/>
    </row>
    <row r="51" spans="1:7" x14ac:dyDescent="0.25">
      <c r="A51" s="4">
        <v>46</v>
      </c>
      <c r="B51" s="5">
        <f t="shared" si="5"/>
        <v>316.63855726146181</v>
      </c>
      <c r="C51" s="21"/>
      <c r="D51" s="21"/>
      <c r="E51" s="21"/>
      <c r="F51" s="21"/>
      <c r="G51" s="21"/>
    </row>
    <row r="52" spans="1:7" x14ac:dyDescent="0.25">
      <c r="A52" s="4">
        <v>47</v>
      </c>
      <c r="B52" s="5">
        <f t="shared" si="5"/>
        <v>324.3854619475344</v>
      </c>
      <c r="C52" s="21"/>
      <c r="D52" s="21"/>
      <c r="E52" s="21"/>
      <c r="F52" s="21"/>
      <c r="G52" s="21"/>
    </row>
    <row r="53" spans="1:7" x14ac:dyDescent="0.25">
      <c r="A53" s="4">
        <v>48</v>
      </c>
      <c r="B53" s="5">
        <f t="shared" si="5"/>
        <v>332.13236663360692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2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2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2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2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37"/>
  <sheetViews>
    <sheetView workbookViewId="0"/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64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 x14ac:dyDescent="0.2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2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2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2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2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2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2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2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2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2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2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2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2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2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2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2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2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2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2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2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2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2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2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2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2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2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2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2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2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2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2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2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2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2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2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2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2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2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2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2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2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2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2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2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2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2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2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3">
        <f ca="1">F53+G53</f>
        <v>247.19929509419347</v>
      </c>
      <c r="C53" s="21">
        <f t="shared" ref="C53:C64" ca="1" si="6">C52+D52+C$2*G53/E41</f>
        <v>248.88118022405507</v>
      </c>
      <c r="D53" s="21">
        <f t="shared" ref="D53:D64" ca="1" si="7">D52+D$2*C$2*G53/E41</f>
        <v>5.3409598045731226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1.799353309510368</v>
      </c>
      <c r="H53" s="4"/>
    </row>
    <row r="54" spans="1:8" x14ac:dyDescent="0.25">
      <c r="A54" s="4">
        <v>38</v>
      </c>
      <c r="B54" s="23">
        <f t="shared" ref="B54:B64" ca="1" si="10">F54+G54</f>
        <v>273.60475448161236</v>
      </c>
      <c r="C54" s="21">
        <f t="shared" ca="1" si="6"/>
        <v>256.98571499418392</v>
      </c>
      <c r="D54" s="21">
        <f t="shared" ca="1" si="7"/>
        <v>5.9725608615404235</v>
      </c>
      <c r="E54" s="21">
        <f t="shared" ca="1" si="2"/>
        <v>1.0394595142086607</v>
      </c>
      <c r="F54" s="21">
        <f t="shared" ca="1" si="8"/>
        <v>264.25362217524395</v>
      </c>
      <c r="G54" s="4">
        <f t="shared" ca="1" si="9"/>
        <v>9.3511323063683918</v>
      </c>
      <c r="H54" s="4"/>
    </row>
    <row r="55" spans="1:8" x14ac:dyDescent="0.25">
      <c r="A55" s="4">
        <v>39</v>
      </c>
      <c r="B55" s="23">
        <f t="shared" ca="1" si="10"/>
        <v>256.76163027493334</v>
      </c>
      <c r="C55" s="21">
        <f t="shared" ca="1" si="6"/>
        <v>266.72493140899576</v>
      </c>
      <c r="D55" s="21">
        <f t="shared" ca="1" si="7"/>
        <v>6.8334109048102114</v>
      </c>
      <c r="E55" s="21">
        <f t="shared" ca="1" si="2"/>
        <v>0.93293329171244777</v>
      </c>
      <c r="F55" s="21">
        <f t="shared" ca="1" si="8"/>
        <v>245.32252987711081</v>
      </c>
      <c r="G55" s="4">
        <f t="shared" ca="1" si="9"/>
        <v>11.43910039782252</v>
      </c>
      <c r="H55" s="4"/>
    </row>
    <row r="56" spans="1:8" x14ac:dyDescent="0.25">
      <c r="A56" s="4">
        <v>40</v>
      </c>
      <c r="B56" s="23">
        <f t="shared" ca="1" si="10"/>
        <v>251.40239582602496</v>
      </c>
      <c r="C56" s="21">
        <f t="shared" ca="1" si="6"/>
        <v>274.14865516919048</v>
      </c>
      <c r="D56" s="21">
        <f t="shared" ca="1" si="7"/>
        <v>6.9683239171399718</v>
      </c>
      <c r="E56" s="21">
        <f t="shared" ca="1" si="2"/>
        <v>0.91259775591054715</v>
      </c>
      <c r="F56" s="21">
        <f t="shared" ca="1" si="8"/>
        <v>249.64872930618859</v>
      </c>
      <c r="G56" s="4">
        <f t="shared" ca="1" si="9"/>
        <v>1.753666519836359</v>
      </c>
      <c r="H56" s="4"/>
    </row>
    <row r="57" spans="1:8" x14ac:dyDescent="0.25">
      <c r="A57" s="4">
        <v>41</v>
      </c>
      <c r="B57" s="23">
        <f t="shared" ca="1" si="10"/>
        <v>298.17792196816237</v>
      </c>
      <c r="C57" s="21">
        <f t="shared" ca="1" si="6"/>
        <v>282.58076079225737</v>
      </c>
      <c r="D57" s="21">
        <f t="shared" ca="1" si="7"/>
        <v>7.30286380990779</v>
      </c>
      <c r="E57" s="21">
        <f t="shared" ca="1" si="2"/>
        <v>1.0430106047420362</v>
      </c>
      <c r="F57" s="21">
        <f t="shared" ca="1" si="8"/>
        <v>293.20799036008788</v>
      </c>
      <c r="G57" s="4">
        <f t="shared" ca="1" si="9"/>
        <v>4.9699316080744795</v>
      </c>
      <c r="H57" s="4"/>
    </row>
    <row r="58" spans="1:8" x14ac:dyDescent="0.25">
      <c r="A58" s="4">
        <v>42</v>
      </c>
      <c r="B58" s="23">
        <f t="shared" ca="1" si="10"/>
        <v>267.46969116737665</v>
      </c>
      <c r="C58" s="21">
        <f t="shared" ca="1" si="6"/>
        <v>291.47879246991943</v>
      </c>
      <c r="D58" s="21">
        <f t="shared" ca="1" si="7"/>
        <v>7.6674313443047701</v>
      </c>
      <c r="E58" s="21">
        <f t="shared" ca="1" si="2"/>
        <v>0.90644245153667458</v>
      </c>
      <c r="F58" s="21">
        <f t="shared" ca="1" si="8"/>
        <v>262.76282334472364</v>
      </c>
      <c r="G58" s="4">
        <f t="shared" ca="1" si="9"/>
        <v>4.7068678226530318</v>
      </c>
      <c r="H58" s="4"/>
    </row>
    <row r="59" spans="1:8" x14ac:dyDescent="0.25">
      <c r="A59" s="4">
        <v>43</v>
      </c>
      <c r="B59" s="23">
        <f t="shared" ca="1" si="10"/>
        <v>257.84092163812858</v>
      </c>
      <c r="C59" s="21">
        <f t="shared" ca="1" si="6"/>
        <v>293.26672697014612</v>
      </c>
      <c r="D59" s="21">
        <f t="shared" ca="1" si="7"/>
        <v>6.3237021285464197</v>
      </c>
      <c r="E59" s="21">
        <f t="shared" ca="1" si="2"/>
        <v>0.92083758937691518</v>
      </c>
      <c r="F59" s="21">
        <f t="shared" ca="1" si="8"/>
        <v>275.46508760829732</v>
      </c>
      <c r="G59" s="4">
        <f t="shared" ca="1" si="9"/>
        <v>-17.624165970168736</v>
      </c>
      <c r="H59" s="4"/>
    </row>
    <row r="60" spans="1:8" x14ac:dyDescent="0.25">
      <c r="A60" s="4">
        <v>44</v>
      </c>
      <c r="B60" s="23">
        <f t="shared" ca="1" si="10"/>
        <v>263.71818129863601</v>
      </c>
      <c r="C60" s="21">
        <f t="shared" ca="1" si="6"/>
        <v>294.98605597124623</v>
      </c>
      <c r="D60" s="21">
        <f t="shared" ca="1" si="7"/>
        <v>5.2713959779216477</v>
      </c>
      <c r="E60" s="21">
        <f t="shared" ca="1" si="2"/>
        <v>0.92662094367181047</v>
      </c>
      <c r="F60" s="21">
        <f t="shared" ca="1" si="8"/>
        <v>277.60676612647313</v>
      </c>
      <c r="G60" s="4">
        <f t="shared" ca="1" si="9"/>
        <v>-13.88858482783712</v>
      </c>
      <c r="H60" s="4"/>
    </row>
    <row r="61" spans="1:8" x14ac:dyDescent="0.25">
      <c r="A61" s="4">
        <v>45</v>
      </c>
      <c r="B61" s="23">
        <f t="shared" ca="1" si="10"/>
        <v>304.55972597947709</v>
      </c>
      <c r="C61" s="21">
        <f t="shared" ca="1" si="6"/>
        <v>302.6684253596581</v>
      </c>
      <c r="D61" s="21">
        <f t="shared" ca="1" si="7"/>
        <v>5.8224117359036143</v>
      </c>
      <c r="E61" s="21">
        <f t="shared" ca="1" si="2"/>
        <v>0.98849075287229571</v>
      </c>
      <c r="F61" s="21">
        <f t="shared" ca="1" si="8"/>
        <v>296.8017147327501</v>
      </c>
      <c r="G61" s="4">
        <f t="shared" ca="1" si="9"/>
        <v>7.7580112467269977</v>
      </c>
      <c r="H61" s="4"/>
    </row>
    <row r="62" spans="1:8" x14ac:dyDescent="0.25">
      <c r="A62" s="4">
        <v>46</v>
      </c>
      <c r="B62" s="23">
        <f t="shared" ca="1" si="10"/>
        <v>308.06896822309255</v>
      </c>
      <c r="C62" s="21">
        <f t="shared" ca="1" si="6"/>
        <v>306.85242334900789</v>
      </c>
      <c r="D62" s="21">
        <f t="shared" ca="1" si="7"/>
        <v>5.4479605750084552</v>
      </c>
      <c r="E62" s="21">
        <f t="shared" ca="1" si="2"/>
        <v>1.0162014531884298</v>
      </c>
      <c r="F62" s="21">
        <f t="shared" ca="1" si="8"/>
        <v>313.48883695182496</v>
      </c>
      <c r="G62" s="4">
        <f t="shared" ca="1" si="9"/>
        <v>-5.419868728732407</v>
      </c>
      <c r="H62" s="4"/>
    </row>
    <row r="63" spans="1:8" x14ac:dyDescent="0.25">
      <c r="A63" s="4">
        <v>47</v>
      </c>
      <c r="B63" s="23">
        <f t="shared" ca="1" si="10"/>
        <v>320.73789074207434</v>
      </c>
      <c r="C63" s="21">
        <f t="shared" ca="1" si="6"/>
        <v>310.37483603590658</v>
      </c>
      <c r="D63" s="21">
        <f t="shared" ca="1" si="7"/>
        <v>5.0078863608006614</v>
      </c>
      <c r="E63" s="21">
        <f t="shared" ca="1" si="2"/>
        <v>1.0480526558060541</v>
      </c>
      <c r="F63" s="21">
        <f t="shared" ca="1" si="8"/>
        <v>327.30724678081566</v>
      </c>
      <c r="G63" s="4">
        <f t="shared" ca="1" si="9"/>
        <v>-6.5693560387413257</v>
      </c>
      <c r="H63" s="4"/>
    </row>
    <row r="64" spans="1:8" x14ac:dyDescent="0.25">
      <c r="A64" s="4">
        <v>48</v>
      </c>
      <c r="B64" s="23">
        <f t="shared" ca="1" si="10"/>
        <v>388.34315773606204</v>
      </c>
      <c r="C64" s="21">
        <f t="shared" ca="1" si="6"/>
        <v>317.58227601721165</v>
      </c>
      <c r="D64" s="21">
        <f t="shared" ca="1" si="7"/>
        <v>5.5105831969212158</v>
      </c>
      <c r="E64" s="21">
        <f t="shared" ca="1" si="2"/>
        <v>1.2040049076184032</v>
      </c>
      <c r="F64" s="21">
        <f t="shared" ca="1" si="8"/>
        <v>379.72234554368805</v>
      </c>
      <c r="G64" s="4">
        <f t="shared" ca="1" si="9"/>
        <v>8.6208121923739629</v>
      </c>
      <c r="H64" s="4"/>
    </row>
    <row r="65" spans="1:12" x14ac:dyDescent="0.25">
      <c r="B65" s="18"/>
      <c r="C65" s="18"/>
      <c r="D65" s="18"/>
      <c r="E65" s="18"/>
      <c r="F65" s="18"/>
    </row>
    <row r="66" spans="1:12" x14ac:dyDescent="0.2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2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Rick</cp:lastModifiedBy>
  <dcterms:created xsi:type="dcterms:W3CDTF">2013-04-01T16:41:05Z</dcterms:created>
  <dcterms:modified xsi:type="dcterms:W3CDTF">2019-07-08T01:10:27Z</dcterms:modified>
</cp:coreProperties>
</file>